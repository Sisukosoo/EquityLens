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eta (Damodaran)" sheetId="2" state="visible" r:id="rId2"/>
    <sheet name="CAPM" sheetId="3" state="visible" r:id="rId3"/>
    <sheet name="WACC" sheetId="4" state="visible" r:id="rId4"/>
    <sheet name="DCF" sheetId="5" state="visible" r:id="rId5"/>
    <sheet name="Validation" sheetId="6" state="visible" r:id="rId6"/>
    <sheet name="Raw Data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0.00&quot;x&quot;"/>
    <numFmt numFmtId="165" formatCode="#,##0.00 &quot;USD&quot;"/>
    <numFmt numFmtId="166" formatCode="#,##0.0 &quot;M USD&quot;"/>
    <numFmt numFmtId="167" formatCode="+0.0&quot; pp&quot;;[Red]-0.0&quot; pp&quot;;0.0&quot; pp&quot;"/>
    <numFmt numFmtId="168" formatCode="+0.00%&quot;pp&quot;;[Red]-0.00%&quot;pp&quot;;0.00&quot;pp&quot;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  <font>
      <b val="1"/>
      <color rgb="00006100"/>
    </font>
    <font>
      <name val="Calibri"/>
      <family val="2"/>
      <color theme="10"/>
      <sz val="12"/>
      <scheme val="minor"/>
    </font>
    <font>
      <b val="1"/>
      <color rgb="009C6500"/>
    </font>
    <font>
      <i val="1"/>
      <color rgb="00666666"/>
    </font>
  </fonts>
  <fills count="9">
    <fill>
      <patternFill/>
    </fill>
    <fill>
      <patternFill patternType="gray125"/>
    </fill>
    <fill>
      <patternFill patternType="solid">
        <fgColor rgb="0016213E"/>
      </patternFill>
    </fill>
    <fill>
      <patternFill patternType="solid">
        <fgColor rgb="00DDEFD8"/>
      </patternFill>
    </fill>
    <fill>
      <patternFill patternType="solid">
        <fgColor rgb="00E7E6E6"/>
      </patternFill>
    </fill>
    <fill>
      <patternFill patternType="solid">
        <fgColor rgb="00C6EFCE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2">
    <xf numFmtId="0" fontId="0" fillId="0" borderId="0"/>
    <xf numFmtId="0" fontId="5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10" fontId="3" fillId="3" borderId="1" applyAlignment="1" pivotButton="0" quotePrefix="0" xfId="0">
      <alignment vertical="top" wrapText="1"/>
    </xf>
    <xf numFmtId="165" fontId="3" fillId="3" borderId="1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4" fillId="5" borderId="0" applyAlignment="1" pivotButton="0" quotePrefix="0" xfId="0">
      <alignment vertical="top" wrapText="1"/>
    </xf>
    <xf numFmtId="0" fontId="5" fillId="0" borderId="0" applyAlignment="1" pivotButton="0" quotePrefix="0" xfId="1">
      <alignment vertical="top" wrapText="1"/>
    </xf>
    <xf numFmtId="164" fontId="0" fillId="6" borderId="1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6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10" fontId="0" fillId="7" borderId="1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6" fillId="8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3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6500"/>
      </font>
      <fill>
        <patternFill patternType="solid">
          <fgColor rgb="00FFEB9C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Structure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'WACC'!$A$3:$A$4</f>
            </numRef>
          </cat>
          <val>
            <numRef>
              <f>'WACC'!$B$3:$B$4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Financial Analyzer</author>
  </authors>
  <commentList>
    <comment ref="B11" authorId="0" shapeId="0">
      <text>
        <t>Damodaran industry beta is often more stable than a single-stock regression beta because it averages operating risk across comparable companies.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8382000" cy="48768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Beta (Damodaran)'!A1" TargetMode="External" Id="rId1" /><Relationship Type="http://schemas.openxmlformats.org/officeDocument/2006/relationships/hyperlink" Target="#'CAPM'!A1" TargetMode="External" Id="rId2" /><Relationship Type="http://schemas.openxmlformats.org/officeDocument/2006/relationships/hyperlink" Target="#'WACC'!A1" TargetMode="External" Id="rId3" /><Relationship Type="http://schemas.openxmlformats.org/officeDocument/2006/relationships/hyperlink" Target="#'DCF'!A1" TargetMode="External" Id="rId4" /><Relationship Type="http://schemas.openxmlformats.org/officeDocument/2006/relationships/hyperlink" Target="#'Validation'!A1" TargetMode="External" Id="rId5" /><Relationship Type="http://schemas.openxmlformats.org/officeDocument/2006/relationships/hyperlink" Target="#'Raw Data'!A1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2" customWidth="1" min="2" max="2"/>
    <col width="21" customWidth="1" min="3" max="3"/>
    <col width="42" customWidth="1" min="4" max="4"/>
    <col width="10" customWidth="1" min="5" max="5"/>
    <col width="10" customWidth="1" min="6" max="6"/>
  </cols>
  <sheetData>
    <row r="1">
      <c r="A1" s="1" t="inlineStr">
        <is>
          <t>Valuation Summary</t>
        </is>
      </c>
      <c r="B1" s="2" t="n"/>
      <c r="C1" s="2" t="n"/>
      <c r="D1" s="2" t="n"/>
      <c r="E1" s="2" t="n"/>
      <c r="F1" s="2" t="n"/>
    </row>
    <row r="2">
      <c r="A2" s="3" t="inlineStr">
        <is>
          <t>Field</t>
        </is>
      </c>
      <c r="B2" s="3" t="inlineStr">
        <is>
          <t>Value</t>
        </is>
      </c>
      <c r="C2" s="2" t="n"/>
      <c r="D2" s="2" t="n"/>
      <c r="E2" s="2" t="n"/>
      <c r="F2" s="2" t="n"/>
    </row>
    <row r="3">
      <c r="A3" s="2" t="inlineStr">
        <is>
          <t>Company</t>
        </is>
      </c>
      <c r="B3" s="2" t="inlineStr">
        <is>
          <t>Apple Inc.</t>
        </is>
      </c>
      <c r="C3" s="2" t="n"/>
      <c r="D3" s="4" t="inlineStr">
        <is>
          <t>Beta source</t>
        </is>
      </c>
      <c r="E3" s="2" t="n"/>
      <c r="F3" s="2" t="n"/>
    </row>
    <row r="4">
      <c r="A4" s="2" t="inlineStr">
        <is>
          <t>Ticker</t>
        </is>
      </c>
      <c r="B4" s="2" t="inlineStr">
        <is>
          <t>AAPL</t>
        </is>
      </c>
      <c r="C4" s="2" t="n"/>
      <c r="D4" s="2" t="inlineStr">
        <is>
          <t>Damodaran industry: Electronics (Consumer &amp; Office)</t>
        </is>
      </c>
      <c r="E4" s="2" t="n"/>
      <c r="F4" s="2" t="n"/>
    </row>
    <row r="5">
      <c r="A5" s="2" t="inlineStr">
        <is>
          <t>Industry</t>
        </is>
      </c>
      <c r="B5" s="2" t="inlineStr">
        <is>
          <t>Consumer Electronics</t>
        </is>
      </c>
      <c r="C5" s="2" t="n"/>
      <c r="D5" s="2" t="inlineStr">
        <is>
          <t>Match confidence: 95.0%</t>
        </is>
      </c>
      <c r="E5" s="2" t="n"/>
      <c r="F5" s="2" t="n"/>
    </row>
    <row r="6">
      <c r="A6" s="2" t="inlineStr">
        <is>
          <t>Date</t>
        </is>
      </c>
      <c r="B6" s="2" t="inlineStr">
        <is>
          <t>07.05.2026 10:32</t>
        </is>
      </c>
      <c r="C6" s="2" t="n"/>
      <c r="D6" s="2" t="inlineStr">
        <is>
          <t>Updated: January 2026</t>
        </is>
      </c>
      <c r="E6" s="2" t="n"/>
      <c r="F6" s="2" t="n"/>
    </row>
    <row r="7">
      <c r="A7" s="2" t="inlineStr">
        <is>
          <t>Reported currency</t>
        </is>
      </c>
      <c r="B7" s="2" t="inlineStr">
        <is>
          <t>USD</t>
        </is>
      </c>
      <c r="C7" s="2" t="n"/>
      <c r="D7" s="2" t="n"/>
      <c r="E7" s="2" t="n"/>
      <c r="F7" s="2" t="n"/>
    </row>
    <row r="8">
      <c r="A8" s="2" t="inlineStr">
        <is>
          <t>Beta</t>
        </is>
      </c>
      <c r="B8" s="5" t="n">
        <v>0.945660916264105</v>
      </c>
      <c r="C8" s="2" t="n"/>
      <c r="D8" s="2" t="n"/>
      <c r="E8" s="2" t="n"/>
      <c r="F8" s="2" t="n"/>
    </row>
    <row r="9">
      <c r="A9" s="2" t="inlineStr">
        <is>
          <t>Cost of Equity</t>
        </is>
      </c>
      <c r="B9" s="6" t="n">
        <v>0.09557134986046815</v>
      </c>
      <c r="C9" s="2" t="n"/>
      <c r="D9" s="2" t="n"/>
      <c r="E9" s="2" t="n"/>
      <c r="F9" s="2" t="n"/>
    </row>
    <row r="10">
      <c r="A10" s="2" t="inlineStr">
        <is>
          <t>Cost of Debt</t>
        </is>
      </c>
      <c r="B10" s="6" t="n">
        <v>0.03986539221748077</v>
      </c>
      <c r="C10" s="2" t="n"/>
      <c r="D10" s="2" t="n"/>
      <c r="E10" s="2" t="n"/>
      <c r="F10" s="2" t="n"/>
    </row>
    <row r="11">
      <c r="A11" s="2" t="inlineStr">
        <is>
          <t>Cost of Debt Estimated</t>
        </is>
      </c>
      <c r="B11" s="2" t="inlineStr">
        <is>
          <t>NO</t>
        </is>
      </c>
      <c r="C11" s="2" t="n"/>
      <c r="D11" s="2" t="n"/>
      <c r="E11" s="2" t="n"/>
      <c r="F11" s="2" t="n"/>
    </row>
    <row r="12">
      <c r="A12" s="2" t="inlineStr">
        <is>
          <t>WACC</t>
        </is>
      </c>
      <c r="B12" s="7" t="n">
        <v>0.09415752623037749</v>
      </c>
      <c r="C12" s="2" t="n"/>
      <c r="D12" s="2" t="n"/>
      <c r="E12" s="2" t="n"/>
      <c r="F12" s="2" t="n"/>
    </row>
    <row r="13">
      <c r="A13" s="2" t="inlineStr">
        <is>
          <t>Selected estimate</t>
        </is>
      </c>
      <c r="B13" s="8" t="n">
        <v>98.86045476713234</v>
      </c>
      <c r="C13" s="2" t="n"/>
      <c r="D13" s="2" t="n"/>
      <c r="E13" s="2" t="n"/>
      <c r="F13" s="2" t="n"/>
    </row>
    <row r="14">
      <c r="A14" s="2" t="inlineStr">
        <is>
          <t>Selected valuation tier</t>
        </is>
      </c>
      <c r="B14" s="2" t="inlineStr">
        <is>
          <t>Tier 1 - standard</t>
        </is>
      </c>
      <c r="C14" s="2" t="n"/>
      <c r="D14" s="2" t="n"/>
      <c r="E14" s="2" t="n"/>
      <c r="F14" s="2" t="n"/>
    </row>
    <row r="15">
      <c r="A15" s="2" t="inlineStr">
        <is>
          <t>Current Market Price</t>
        </is>
      </c>
      <c r="B15" s="9" t="n">
        <v>287.51</v>
      </c>
      <c r="C15" s="2" t="n"/>
      <c r="D15" s="2" t="n"/>
      <c r="E15" s="2" t="n"/>
      <c r="F15" s="2" t="n"/>
    </row>
    <row r="16">
      <c r="A16" s="2" t="inlineStr">
        <is>
          <t>Upside / Downside</t>
        </is>
      </c>
      <c r="B16" s="6" t="n">
        <v>-0.6561495086531517</v>
      </c>
      <c r="C16" s="2" t="n"/>
      <c r="D16" s="2" t="n"/>
      <c r="E16" s="2" t="n"/>
      <c r="F16" s="2" t="n"/>
    </row>
    <row r="17">
      <c r="A17" s="2" t="inlineStr">
        <is>
          <t>Confidence</t>
        </is>
      </c>
      <c r="B17" s="2" t="inlineStr">
        <is>
          <t>NORMAL - standard DCF assumptions</t>
        </is>
      </c>
      <c r="C17" s="2" t="n"/>
      <c r="D17" s="2" t="n"/>
      <c r="E17" s="2" t="n"/>
      <c r="F17" s="2" t="n"/>
    </row>
    <row r="18">
      <c r="A18" s="2" t="inlineStr">
        <is>
          <t>Reason</t>
        </is>
      </c>
      <c r="B18" s="2" t="inlineStr">
        <is>
          <t>Standard DCF uses current company financials and passed sanity checks.</t>
        </is>
      </c>
      <c r="C18" s="2" t="n"/>
      <c r="D18" s="2" t="n"/>
      <c r="E18" s="2" t="n"/>
      <c r="F18" s="2" t="n"/>
    </row>
    <row r="19">
      <c r="A19" s="2" t="n"/>
      <c r="B19" s="2" t="n"/>
      <c r="C19" s="2" t="n"/>
      <c r="D19" s="2" t="n"/>
      <c r="E19" s="2" t="n"/>
      <c r="F19" s="2" t="n"/>
    </row>
    <row r="20">
      <c r="A20" s="2" t="n"/>
      <c r="B20" s="2" t="n"/>
      <c r="C20" s="2" t="n"/>
      <c r="D20" s="2" t="n"/>
      <c r="E20" s="2" t="n"/>
      <c r="F20" s="2" t="n"/>
    </row>
    <row r="21">
      <c r="A21" s="4" t="inlineStr">
        <is>
          <t>Implied Share Price Analysis</t>
        </is>
      </c>
      <c r="B21" s="2" t="n"/>
      <c r="C21" s="2" t="n"/>
      <c r="D21" s="2" t="n"/>
      <c r="E21" s="2" t="n"/>
      <c r="F21" s="2" t="n"/>
    </row>
    <row r="22">
      <c r="A22" s="3" t="inlineStr">
        <is>
          <t>Method</t>
        </is>
      </c>
      <c r="B22" s="3" t="inlineStr">
        <is>
          <t>Implied share price</t>
        </is>
      </c>
      <c r="C22" s="3" t="inlineStr">
        <is>
          <t>Upside / downside</t>
        </is>
      </c>
      <c r="D22" s="3" t="inlineStr">
        <is>
          <t>Status</t>
        </is>
      </c>
      <c r="E22" s="2" t="n"/>
      <c r="F22" s="2" t="n"/>
    </row>
    <row r="23">
      <c r="A23" s="2" t="inlineStr">
        <is>
          <t>Tier 1 - Standard DCF</t>
        </is>
      </c>
      <c r="B23" s="8" t="n">
        <v>98.86045476713234</v>
      </c>
      <c r="C23" s="6" t="n">
        <v>-0.6561495086531517</v>
      </c>
      <c r="D23" s="10" t="inlineStr">
        <is>
          <t>Used as primary result - within 70% of market price</t>
        </is>
      </c>
      <c r="E23" s="2" t="n"/>
      <c r="F23" s="2" t="n"/>
    </row>
    <row r="24">
      <c r="A24" s="2" t="inlineStr">
        <is>
          <t>Tier 2 - Smoothed DCF</t>
        </is>
      </c>
      <c r="B24" s="9" t="n">
        <v>96.03958309484473</v>
      </c>
      <c r="C24" s="6" t="n">
        <v>-0.6659608949433247</v>
      </c>
      <c r="D24" s="2" t="inlineStr">
        <is>
          <t>ACCEPTED - within 70% of market price</t>
        </is>
      </c>
      <c r="E24" s="2" t="n"/>
      <c r="F24" s="2" t="n"/>
    </row>
    <row r="25">
      <c r="A25" s="2" t="inlineStr">
        <is>
          <t>Tier 3 - Sector Benchmark DCF</t>
        </is>
      </c>
      <c r="B25" s="9" t="n"/>
      <c r="C25" s="6" t="n"/>
      <c r="D25" s="2" t="inlineStr">
        <is>
          <t>SKIPPED - sector benchmark not applicable</t>
        </is>
      </c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4" t="inlineStr">
        <is>
          <t>Workbook navigation</t>
        </is>
      </c>
      <c r="B28" s="2" t="n"/>
      <c r="C28" s="2" t="n"/>
      <c r="D28" s="2" t="n"/>
      <c r="E28" s="2" t="n"/>
      <c r="F28" s="2" t="n"/>
    </row>
    <row r="29">
      <c r="A29" s="11" t="inlineStr">
        <is>
          <t>Beta (Damodaran)</t>
        </is>
      </c>
      <c r="B29" s="2" t="n"/>
      <c r="C29" s="2" t="n"/>
      <c r="D29" s="2" t="n"/>
      <c r="E29" s="2" t="n"/>
      <c r="F29" s="2" t="n"/>
    </row>
    <row r="30">
      <c r="A30" s="11" t="inlineStr">
        <is>
          <t>CAPM</t>
        </is>
      </c>
      <c r="B30" s="2" t="n"/>
      <c r="C30" s="2" t="n"/>
      <c r="D30" s="2" t="n"/>
      <c r="E30" s="2" t="n"/>
      <c r="F30" s="2" t="n"/>
    </row>
    <row r="31">
      <c r="A31" s="11" t="inlineStr">
        <is>
          <t>WACC</t>
        </is>
      </c>
      <c r="B31" s="2" t="n"/>
      <c r="C31" s="2" t="n"/>
      <c r="D31" s="2" t="n"/>
      <c r="E31" s="2" t="n"/>
      <c r="F31" s="2" t="n"/>
    </row>
    <row r="32">
      <c r="A32" s="11" t="inlineStr">
        <is>
          <t>DCF</t>
        </is>
      </c>
      <c r="B32" s="2" t="n"/>
      <c r="C32" s="2" t="n"/>
      <c r="D32" s="2" t="n"/>
      <c r="E32" s="2" t="n"/>
      <c r="F32" s="2" t="n"/>
    </row>
    <row r="33">
      <c r="A33" s="11" t="inlineStr">
        <is>
          <t>Validation</t>
        </is>
      </c>
      <c r="B33" s="2" t="n"/>
      <c r="C33" s="2" t="n"/>
      <c r="D33" s="2" t="n"/>
      <c r="E33" s="2" t="n"/>
      <c r="F33" s="2" t="n"/>
    </row>
    <row r="34">
      <c r="A34" s="11" t="inlineStr">
        <is>
          <t>Raw Data</t>
        </is>
      </c>
      <c r="B34" s="2" t="n"/>
      <c r="C34" s="2" t="n"/>
      <c r="D34" s="2" t="n"/>
      <c r="E34" s="2" t="n"/>
      <c r="F34" s="2" t="n"/>
    </row>
  </sheetData>
  <mergeCells count="1">
    <mergeCell ref="A1:F1"/>
  </mergeCells>
  <hyperlinks>
    <hyperlink xmlns:r="http://schemas.openxmlformats.org/officeDocument/2006/relationships" ref="A29" r:id="rId1"/>
    <hyperlink xmlns:r="http://schemas.openxmlformats.org/officeDocument/2006/relationships" ref="A30" r:id="rId2"/>
    <hyperlink xmlns:r="http://schemas.openxmlformats.org/officeDocument/2006/relationships" ref="A31" r:id="rId3"/>
    <hyperlink xmlns:r="http://schemas.openxmlformats.org/officeDocument/2006/relationships" ref="A32" r:id="rId4"/>
    <hyperlink xmlns:r="http://schemas.openxmlformats.org/officeDocument/2006/relationships" ref="A33" r:id="rId5"/>
    <hyperlink xmlns:r="http://schemas.openxmlformats.org/officeDocument/2006/relationships" ref="A34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3" customWidth="1" min="2" max="2"/>
    <col width="4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Beta (Damodaran)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2" t="inlineStr">
        <is>
          <t>Source: Aswath Damodaran, NYU Stern - https://pages.stern.nyu.edu/~adamodar/pc/datasets/betas.xls - Updated January 2026</t>
        </is>
      </c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2" t="inlineStr">
        <is>
          <t>Company industry (yfinance)</t>
        </is>
      </c>
      <c r="B5" s="2" t="inlineStr">
        <is>
          <t>Consumer Electronics</t>
        </is>
      </c>
      <c r="C5" s="2" t="n"/>
      <c r="D5" s="2" t="n"/>
      <c r="E5" s="2" t="n"/>
      <c r="F5" s="2" t="n"/>
    </row>
    <row r="6">
      <c r="A6" s="2" t="inlineStr">
        <is>
          <t>Matched Damodaran industry</t>
        </is>
      </c>
      <c r="B6" s="2" t="inlineStr">
        <is>
          <t>Electronics (Consumer &amp; Office)</t>
        </is>
      </c>
      <c r="C6" s="2" t="n"/>
      <c r="D6" s="2" t="n"/>
      <c r="E6" s="2" t="n"/>
      <c r="F6" s="2" t="n"/>
    </row>
    <row r="7">
      <c r="A7" s="2" t="inlineStr">
        <is>
          <t>Match confidence</t>
        </is>
      </c>
      <c r="B7" s="6" t="n">
        <v>0.95</v>
      </c>
      <c r="C7" s="2" t="n"/>
      <c r="D7" s="2" t="n"/>
      <c r="E7" s="2" t="n"/>
      <c r="F7" s="2" t="n"/>
    </row>
    <row r="8">
      <c r="A8" s="2" t="inlineStr">
        <is>
          <t>Unlevered Beta</t>
        </is>
      </c>
      <c r="B8" s="5" t="n">
        <v>0.9273766123201671</v>
      </c>
      <c r="C8" s="2" t="n"/>
      <c r="D8" s="2" t="n"/>
      <c r="E8" s="2" t="n"/>
      <c r="F8" s="2" t="n"/>
    </row>
    <row r="9">
      <c r="A9" s="2" t="inlineStr">
        <is>
          <t>Company D/E ratio</t>
        </is>
      </c>
      <c r="B9" s="6" t="n">
        <v>0.02336314573500407</v>
      </c>
      <c r="C9" s="2" t="n"/>
      <c r="D9" s="2" t="n"/>
      <c r="E9" s="2" t="n"/>
      <c r="F9" s="2" t="n"/>
    </row>
    <row r="10">
      <c r="A10" s="2" t="inlineStr">
        <is>
          <t>Tax rate</t>
        </is>
      </c>
      <c r="B10" s="6" t="n">
        <v>0.1561000233558604</v>
      </c>
      <c r="C10" s="2" t="inlineStr">
        <is>
          <t>Company effective tax rate used in relevering. Alternative methodology would use marginal tax rate (Damodaran's recommendation); results may differ for firms with significant tax shields.</t>
        </is>
      </c>
      <c r="D10" s="2" t="n"/>
      <c r="E10" s="2" t="n"/>
      <c r="F10" s="2" t="n"/>
    </row>
    <row r="11">
      <c r="A11" s="2" t="inlineStr">
        <is>
          <t>Levered Beta</t>
        </is>
      </c>
      <c r="B11" s="12">
        <f>B8*(1+(1-B10)*B9)</f>
        <v/>
      </c>
      <c r="C11" s="2" t="n"/>
      <c r="D11" s="2" t="n"/>
      <c r="E11" s="2" t="n"/>
      <c r="F11" s="2" t="n"/>
    </row>
    <row r="12">
      <c r="A12" s="2" t="inlineStr">
        <is>
          <t>yfinance beta (reference only)</t>
        </is>
      </c>
      <c r="B12" s="2" t="n">
        <v>1.065</v>
      </c>
      <c r="C12" s="2" t="n"/>
      <c r="D12" s="2" t="n"/>
      <c r="E12" s="2" t="n"/>
      <c r="F12" s="2" t="n"/>
    </row>
  </sheetData>
  <mergeCells count="1"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5" customWidth="1" min="2" max="2"/>
    <col width="4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CAPM</t>
        </is>
      </c>
      <c r="B1" s="2" t="n"/>
      <c r="C1" s="2" t="n"/>
      <c r="D1" s="2" t="n"/>
      <c r="E1" s="2" t="n"/>
      <c r="F1" s="2" t="n"/>
    </row>
    <row r="2">
      <c r="A2" s="3" t="inlineStr">
        <is>
          <t>Input</t>
        </is>
      </c>
      <c r="B2" s="3" t="inlineStr">
        <is>
          <t>Value</t>
        </is>
      </c>
      <c r="C2" s="3" t="inlineStr">
        <is>
          <t>Explanation</t>
        </is>
      </c>
      <c r="D2" s="2" t="n"/>
      <c r="E2" s="2" t="n"/>
      <c r="F2" s="2" t="n"/>
    </row>
    <row r="3">
      <c r="A3" s="2" t="inlineStr">
        <is>
          <t>Risk-free rate</t>
        </is>
      </c>
      <c r="B3" s="6" t="n">
        <v>0.04355999946594238</v>
      </c>
      <c r="C3" s="2" t="inlineStr">
        <is>
          <t>^TNX as of 2026-05-06</t>
        </is>
      </c>
      <c r="D3" s="2" t="n"/>
      <c r="E3" s="2" t="n"/>
      <c r="F3" s="2" t="n"/>
    </row>
    <row r="4">
      <c r="A4" s="2" t="inlineStr">
        <is>
          <t>Levered Beta</t>
        </is>
      </c>
      <c r="B4" s="5">
        <f>'Beta (Damodaran)'!B11</f>
        <v/>
      </c>
      <c r="C4" s="2" t="inlineStr">
        <is>
          <t>Damodaran industry beta re-levered to company D/E</t>
        </is>
      </c>
      <c r="D4" s="2" t="n"/>
      <c r="E4" s="2" t="n"/>
      <c r="F4" s="2" t="n"/>
    </row>
    <row r="5">
      <c r="A5" s="2" t="inlineStr">
        <is>
          <t>Market Risk Premium</t>
        </is>
      </c>
      <c r="B5" s="6" t="n">
        <v>0.055</v>
      </c>
      <c r="C5" s="2" t="inlineStr">
        <is>
          <t>Damodaran recommendation: 5.5%</t>
        </is>
      </c>
      <c r="D5" s="2" t="n"/>
      <c r="E5" s="2" t="n"/>
      <c r="F5" s="2" t="n"/>
    </row>
    <row r="6">
      <c r="A6" s="2" t="inlineStr">
        <is>
          <t>Cost of Equity</t>
        </is>
      </c>
      <c r="B6" s="7">
        <f>B3+B4*B5</f>
        <v/>
      </c>
      <c r="C6" s="2" t="inlineStr">
        <is>
          <t>CAPM formula</t>
        </is>
      </c>
      <c r="D6" s="2" t="n"/>
      <c r="E6" s="2" t="n"/>
      <c r="F6" s="2" t="n"/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6" customWidth="1" min="2" max="2"/>
    <col width="42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WACC</t>
        </is>
      </c>
      <c r="B1" s="2" t="n"/>
      <c r="C1" s="2" t="n"/>
      <c r="D1" s="2" t="n"/>
      <c r="E1" s="2" t="n"/>
      <c r="F1" s="2" t="n"/>
    </row>
    <row r="2">
      <c r="A2" s="3" t="inlineStr">
        <is>
          <t>Component</t>
        </is>
      </c>
      <c r="B2" s="3" t="inlineStr">
        <is>
          <t>Value</t>
        </is>
      </c>
      <c r="C2" s="3" t="inlineStr">
        <is>
          <t>Explanation</t>
        </is>
      </c>
      <c r="D2" s="2" t="n"/>
      <c r="E2" s="2" t="n"/>
      <c r="F2" s="2" t="n"/>
    </row>
    <row r="3">
      <c r="A3" s="2" t="inlineStr">
        <is>
          <t>Market cap (E)</t>
        </is>
      </c>
      <c r="B3" s="13" t="n">
        <v>4222761.828352</v>
      </c>
      <c r="C3" s="2" t="inlineStr"/>
      <c r="D3" s="2" t="n"/>
      <c r="E3" s="2" t="n"/>
      <c r="F3" s="2" t="n"/>
    </row>
    <row r="4">
      <c r="A4" s="2" t="inlineStr">
        <is>
          <t>Total debt (book value)</t>
        </is>
      </c>
      <c r="B4" s="13" t="n">
        <v>98657</v>
      </c>
      <c r="C4" s="2" t="inlineStr">
        <is>
          <t>Book value used as proxy for market value of debt. Standard simplification when debt is short-term or trades close to par.</t>
        </is>
      </c>
      <c r="D4" s="2" t="n"/>
      <c r="E4" s="2" t="n"/>
      <c r="F4" s="2" t="n"/>
    </row>
    <row r="5">
      <c r="A5" s="2" t="inlineStr">
        <is>
          <t>V = E + D</t>
        </is>
      </c>
      <c r="B5" s="14">
        <f>B3+B4</f>
        <v/>
      </c>
      <c r="C5" s="2" t="inlineStr"/>
      <c r="D5" s="2" t="n"/>
      <c r="E5" s="2" t="n"/>
      <c r="F5" s="2" t="n"/>
    </row>
    <row r="6">
      <c r="A6" s="2" t="inlineStr">
        <is>
          <t>Equity weight = E/V</t>
        </is>
      </c>
      <c r="B6" s="15">
        <f>B3/B5</f>
        <v/>
      </c>
      <c r="C6" s="2" t="inlineStr"/>
      <c r="D6" s="2" t="n"/>
      <c r="E6" s="2" t="n"/>
      <c r="F6" s="2" t="n"/>
    </row>
    <row r="7">
      <c r="A7" s="2" t="inlineStr">
        <is>
          <t>Debt weight = D/V</t>
        </is>
      </c>
      <c r="B7" s="15">
        <f>B4/B5</f>
        <v/>
      </c>
      <c r="C7" s="2" t="inlineStr"/>
      <c r="D7" s="2" t="n"/>
      <c r="E7" s="2" t="n"/>
      <c r="F7" s="2" t="n"/>
    </row>
    <row r="8">
      <c r="A8" s="2" t="inlineStr">
        <is>
          <t>Cost of equity (Re)</t>
        </is>
      </c>
      <c r="B8" s="6">
        <f>'CAPM'!B6</f>
        <v/>
      </c>
      <c r="C8" s="2" t="inlineStr"/>
      <c r="D8" s="2" t="n"/>
      <c r="E8" s="2" t="n"/>
      <c r="F8" s="2" t="n"/>
    </row>
    <row r="9">
      <c r="A9" s="2" t="inlineStr">
        <is>
          <t>Cost of debt (Rd)</t>
        </is>
      </c>
      <c r="B9" s="15" t="n">
        <v>0.03986539221748077</v>
      </c>
      <c r="C9" s="2" t="inlineStr"/>
      <c r="D9" s="2" t="n"/>
      <c r="E9" s="2" t="n"/>
      <c r="F9" s="2" t="n"/>
    </row>
    <row r="10">
      <c r="A10" s="2" t="inlineStr">
        <is>
          <t>Tax rate (T)</t>
        </is>
      </c>
      <c r="B10" s="6" t="n">
        <v>0.1561000233558604</v>
      </c>
      <c r="C10" s="2" t="inlineStr"/>
      <c r="D10" s="2" t="n"/>
      <c r="E10" s="2" t="n"/>
      <c r="F10" s="2" t="n"/>
    </row>
    <row r="11">
      <c r="A11" s="2" t="inlineStr">
        <is>
          <t>After-tax cost of debt</t>
        </is>
      </c>
      <c r="B11" s="6">
        <f>B9*(1-B10)</f>
        <v/>
      </c>
      <c r="C11" s="2" t="inlineStr"/>
      <c r="D11" s="2" t="n"/>
      <c r="E11" s="2" t="n"/>
      <c r="F11" s="2" t="n"/>
    </row>
    <row r="12">
      <c r="A12" s="2" t="inlineStr">
        <is>
          <t>WACC</t>
        </is>
      </c>
      <c r="B12" s="7">
        <f>(B6*B8)+(B7*B9*(1-B10))</f>
        <v/>
      </c>
      <c r="C12" s="2" t="inlineStr"/>
      <c r="D12" s="2" t="n"/>
      <c r="E12" s="2" t="n"/>
      <c r="F12" s="2" t="n"/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20" customWidth="1" min="4" max="4"/>
    <col width="20" customWidth="1" min="5" max="5"/>
    <col width="10" customWidth="1" min="6" max="6"/>
  </cols>
  <sheetData>
    <row r="1">
      <c r="A1" s="1" t="inlineStr">
        <is>
          <t>DCF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4" t="inlineStr">
        <is>
          <t>Historical Data</t>
        </is>
      </c>
      <c r="B3" s="2" t="n"/>
      <c r="C3" s="2" t="n"/>
      <c r="D3" s="2" t="n"/>
      <c r="E3" s="2" t="n"/>
      <c r="F3" s="2" t="n"/>
    </row>
    <row r="4">
      <c r="A4" s="3" t="inlineStr">
        <is>
          <t>Period</t>
        </is>
      </c>
      <c r="B4" s="3" t="inlineStr">
        <is>
          <t>Revenue</t>
        </is>
      </c>
      <c r="C4" s="3" t="inlineStr">
        <is>
          <t>EBIT</t>
        </is>
      </c>
      <c r="D4" s="3" t="inlineStr">
        <is>
          <t>FCF</t>
        </is>
      </c>
      <c r="E4" s="2" t="n"/>
      <c r="F4" s="2" t="n"/>
    </row>
    <row r="5">
      <c r="A5" s="2" t="inlineStr">
        <is>
          <t>FY2021 (ended Sep 2021)</t>
        </is>
      </c>
      <c r="B5" s="13" t="n"/>
      <c r="C5" s="13" t="n"/>
      <c r="D5" s="13" t="n"/>
      <c r="E5" s="2" t="n"/>
      <c r="F5" s="2" t="n"/>
    </row>
    <row r="6">
      <c r="A6" s="2" t="inlineStr">
        <is>
          <t>FY2022 (ended Sep 2022)</t>
        </is>
      </c>
      <c r="B6" s="13" t="n">
        <v>394328</v>
      </c>
      <c r="C6" s="13" t="n">
        <v>119437</v>
      </c>
      <c r="D6" s="13" t="n">
        <v>111443</v>
      </c>
      <c r="E6" s="2" t="n"/>
      <c r="F6" s="2" t="n"/>
    </row>
    <row r="7">
      <c r="A7" s="2" t="inlineStr">
        <is>
          <t>FY2023 (ended Sep 2023)</t>
        </is>
      </c>
      <c r="B7" s="13" t="n">
        <v>383285</v>
      </c>
      <c r="C7" s="13" t="n">
        <v>114301</v>
      </c>
      <c r="D7" s="13" t="n">
        <v>99584</v>
      </c>
      <c r="E7" s="2" t="n"/>
      <c r="F7" s="2" t="n"/>
    </row>
    <row r="8">
      <c r="A8" s="2" t="inlineStr">
        <is>
          <t>FY2024 (ended Sep 2024)</t>
        </is>
      </c>
      <c r="B8" s="13" t="n">
        <v>391035</v>
      </c>
      <c r="C8" s="13" t="n">
        <v>123216</v>
      </c>
      <c r="D8" s="13" t="n">
        <v>108807</v>
      </c>
      <c r="E8" s="2" t="n"/>
      <c r="F8" s="2" t="n"/>
    </row>
    <row r="9">
      <c r="A9" s="2" t="inlineStr">
        <is>
          <t>FY2025 (ended Sep 2025)</t>
        </is>
      </c>
      <c r="B9" s="13" t="n">
        <v>416161</v>
      </c>
      <c r="C9" s="13" t="n">
        <v>133050</v>
      </c>
      <c r="D9" s="13" t="n">
        <v>98767</v>
      </c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Tier 1 Assumptions - Standard DCF</t>
        </is>
      </c>
      <c r="B12" s="2" t="n"/>
      <c r="C12" s="2" t="n"/>
      <c r="D12" s="2" t="n"/>
      <c r="E12" s="2" t="n"/>
      <c r="F12" s="2" t="n"/>
    </row>
    <row r="13">
      <c r="A13" s="3" t="inlineStr">
        <is>
          <t>Assumption</t>
        </is>
      </c>
      <c r="B13" s="3" t="inlineStr">
        <is>
          <t>Value</t>
        </is>
      </c>
      <c r="C13" s="3" t="inlineStr">
        <is>
          <t>Source</t>
        </is>
      </c>
      <c r="D13" s="2" t="n"/>
      <c r="E13" s="2" t="n"/>
      <c r="F13" s="2" t="n"/>
    </row>
    <row r="14">
      <c r="A14" s="2" t="inlineStr">
        <is>
          <t>Revenue growth % per year</t>
        </is>
      </c>
      <c r="B14" s="16" t="n">
        <v>0.01812535743479393</v>
      </c>
      <c r="C14" s="2" t="inlineStr">
        <is>
          <t>3-year CAGR (FY2022-FY2025, 3 growth periods)</t>
        </is>
      </c>
      <c r="D14" s="2" t="n"/>
      <c r="E14" s="2" t="n"/>
      <c r="F14" s="2" t="n"/>
    </row>
    <row r="15">
      <c r="A15" s="2" t="inlineStr">
        <is>
          <t>EBIT margin %</t>
        </is>
      </c>
      <c r="B15" s="16" t="n">
        <v>0.3197079976259188</v>
      </c>
      <c r="C15" s="2" t="inlineStr">
        <is>
          <t>latest FY actual</t>
        </is>
      </c>
      <c r="D15" s="2" t="n"/>
      <c r="E15" s="2" t="n"/>
      <c r="F15" s="2" t="n"/>
    </row>
    <row r="16">
      <c r="A16" s="2" t="inlineStr">
        <is>
          <t>Tax rate</t>
        </is>
      </c>
      <c r="B16" s="16" t="n">
        <v>0.1561000233558604</v>
      </c>
      <c r="C16" s="2" t="inlineStr">
        <is>
          <t>Company effective tax rate</t>
        </is>
      </c>
      <c r="D16" s="2" t="n"/>
      <c r="E16" s="2" t="n"/>
      <c r="F16" s="2" t="n"/>
    </row>
    <row r="17">
      <c r="A17" s="2" t="inlineStr">
        <is>
          <t>D&amp;A % revenue</t>
        </is>
      </c>
      <c r="B17" s="16" t="n">
        <v>0.02914371593993894</v>
      </c>
      <c r="C17" s="2" t="inlineStr">
        <is>
          <t>recent historical average</t>
        </is>
      </c>
      <c r="D17" s="2" t="n"/>
      <c r="E17" s="2" t="n"/>
      <c r="F17" s="2" t="n"/>
    </row>
    <row r="18">
      <c r="A18" s="2" t="inlineStr">
        <is>
          <t>CapEx % revenue</t>
        </is>
      </c>
      <c r="B18" s="16" t="n">
        <v>0.02776811424599673</v>
      </c>
      <c r="C18" s="2" t="inlineStr">
        <is>
          <t>3-year historical average</t>
        </is>
      </c>
      <c r="D18" s="2" t="n"/>
      <c r="E18" s="2" t="n"/>
      <c r="F18" s="2" t="n"/>
    </row>
    <row r="19">
      <c r="A19" s="2" t="inlineStr">
        <is>
          <t>Working capital % revenue</t>
        </is>
      </c>
      <c r="B19" s="16" t="n">
        <v>-0.03562267956525364</v>
      </c>
      <c r="C19" s="2" t="inlineStr">
        <is>
          <t>3-year historical average</t>
        </is>
      </c>
      <c r="D19" s="2" t="n"/>
      <c r="E19" s="2" t="n"/>
      <c r="F19" s="2" t="n"/>
    </row>
    <row r="20">
      <c r="A20" s="2" t="inlineStr">
        <is>
          <t>Terminal growth rate</t>
        </is>
      </c>
      <c r="B20" s="16" t="n">
        <v>0.01812535743479393</v>
      </c>
      <c r="C20" s="2" t="inlineStr">
        <is>
          <t>3-year CAGR (FY2022-FY2025, 3 growth periods); capped to 1.5%-2.5% terminal range</t>
        </is>
      </c>
      <c r="D20" s="2" t="n"/>
      <c r="E20" s="2" t="n"/>
      <c r="F20" s="2" t="n"/>
    </row>
    <row r="21">
      <c r="A21" s="2" t="inlineStr">
        <is>
          <t>Discount rate = WACC</t>
        </is>
      </c>
      <c r="B21" s="16" t="n">
        <v>0.09415752623037749</v>
      </c>
      <c r="C21" s="2" t="inlineStr">
        <is>
          <t>WACC from CAPM + cost of debt</t>
        </is>
      </c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4" t="inlineStr">
        <is>
          <t>Tier 1 FCF projections</t>
        </is>
      </c>
      <c r="B23" s="2" t="n"/>
      <c r="C23" s="2" t="n"/>
      <c r="D23" s="2" t="n"/>
      <c r="E23" s="2" t="n"/>
      <c r="F23" s="2" t="n"/>
    </row>
    <row r="24">
      <c r="A24" s="3" t="inlineStr">
        <is>
          <t>Year</t>
        </is>
      </c>
      <c r="B24" s="3" t="inlineStr">
        <is>
          <t>Revenue</t>
        </is>
      </c>
      <c r="C24" s="3" t="inlineStr">
        <is>
          <t>EBIT</t>
        </is>
      </c>
      <c r="D24" s="3" t="inlineStr">
        <is>
          <t>FCF</t>
        </is>
      </c>
      <c r="E24" s="3" t="inlineStr">
        <is>
          <t>PV FCF</t>
        </is>
      </c>
      <c r="F24" s="2" t="n"/>
    </row>
    <row r="25">
      <c r="A25" s="2" t="inlineStr">
        <is>
          <t>Year 1</t>
        </is>
      </c>
      <c r="B25" s="13" t="n">
        <v>423704.0668754213</v>
      </c>
      <c r="C25" s="13" t="n">
        <v>135461.5788066993</v>
      </c>
      <c r="D25" s="13" t="n">
        <v>115167.5754775183</v>
      </c>
      <c r="E25" s="13" t="n">
        <v>105256.8507884755</v>
      </c>
      <c r="F25" s="2" t="n"/>
    </row>
    <row r="26">
      <c r="A26" s="2" t="inlineStr">
        <is>
          <t>Year 2</t>
        </is>
      </c>
      <c r="B26" s="13" t="n">
        <v>431383.8545341141</v>
      </c>
      <c r="C26" s="13" t="n">
        <v>137916.8683412523</v>
      </c>
      <c r="D26" s="13" t="n">
        <v>117255.0289479469</v>
      </c>
      <c r="E26" s="13" t="n">
        <v>97942.63281328796</v>
      </c>
      <c r="F26" s="2" t="n"/>
    </row>
    <row r="27">
      <c r="A27" s="2" t="inlineStr">
        <is>
          <t>Year 3</t>
        </is>
      </c>
      <c r="B27" s="13" t="n">
        <v>439202.8410891441</v>
      </c>
      <c r="C27" s="13" t="n">
        <v>140416.6608762249</v>
      </c>
      <c r="D27" s="13" t="n">
        <v>119380.3182586556</v>
      </c>
      <c r="E27" s="13" t="n">
        <v>91136.67424532959</v>
      </c>
      <c r="F27" s="2" t="n"/>
    </row>
    <row r="28">
      <c r="A28" s="2" t="inlineStr">
        <is>
          <t>Year 4</t>
        </is>
      </c>
      <c r="B28" s="13" t="n">
        <v>447163.5495702619</v>
      </c>
      <c r="C28" s="13" t="n">
        <v>142961.7630444067</v>
      </c>
      <c r="D28" s="13" t="n">
        <v>121544.1291977732</v>
      </c>
      <c r="E28" s="13" t="n">
        <v>84803.65652752244</v>
      </c>
      <c r="F28" s="2" t="n"/>
    </row>
    <row r="29">
      <c r="A29" s="2" t="inlineStr">
        <is>
          <t>Year 5</t>
        </is>
      </c>
      <c r="B29" s="13" t="n">
        <v>455268.548738034</v>
      </c>
      <c r="C29" s="13" t="n">
        <v>145552.9960990949</v>
      </c>
      <c r="D29" s="13" t="n">
        <v>123747.1599835835</v>
      </c>
      <c r="E29" s="13" t="n">
        <v>78910.71536227957</v>
      </c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inlineStr">
        <is>
          <t>Terminal value</t>
        </is>
      </c>
      <c r="B31" s="13" t="n">
        <v>1657063.365225811</v>
      </c>
      <c r="C31" s="2" t="n"/>
      <c r="D31" s="2" t="n"/>
      <c r="E31" s="2" t="n"/>
      <c r="F31" s="2" t="n"/>
    </row>
    <row r="32">
      <c r="A32" s="2" t="inlineStr">
        <is>
          <t>PV terminal value</t>
        </is>
      </c>
      <c r="B32" s="13" t="n">
        <v>1056671.163749875</v>
      </c>
      <c r="C32" s="2" t="n"/>
      <c r="D32" s="2" t="n"/>
      <c r="E32" s="2" t="n"/>
      <c r="F32" s="2" t="n"/>
    </row>
    <row r="33">
      <c r="A33" s="2" t="inlineStr">
        <is>
          <t>Enterprise value</t>
        </is>
      </c>
      <c r="B33" s="13" t="n">
        <v>1514721.69348677</v>
      </c>
      <c r="C33" s="2" t="n"/>
      <c r="D33" s="2" t="n"/>
      <c r="E33" s="2" t="n"/>
      <c r="F33" s="2" t="n"/>
    </row>
    <row r="34">
      <c r="A34" s="2" t="inlineStr">
        <is>
          <t>Equity value</t>
        </is>
      </c>
      <c r="B34" s="13" t="n">
        <v>1451998.69348677</v>
      </c>
      <c r="C34" s="2" t="n"/>
      <c r="D34" s="2" t="n"/>
      <c r="E34" s="2" t="n"/>
      <c r="F34" s="2" t="n"/>
    </row>
    <row r="35">
      <c r="A35" s="2" t="inlineStr">
        <is>
          <t>Implied share price</t>
        </is>
      </c>
      <c r="B35" s="8" t="n">
        <v>98.86045476713234</v>
      </c>
      <c r="C35" s="2" t="n"/>
      <c r="D35" s="2" t="n"/>
      <c r="E35" s="2" t="n"/>
      <c r="F35" s="2" t="n"/>
    </row>
    <row r="36">
      <c r="A36" s="2" t="inlineStr">
        <is>
          <t>Upside / downside</t>
        </is>
      </c>
      <c r="B36" s="6" t="n">
        <v>-0.6561495086531517</v>
      </c>
      <c r="C36" s="2" t="n"/>
      <c r="D36" s="2" t="n"/>
      <c r="E36" s="2" t="n"/>
      <c r="F36" s="2" t="n"/>
    </row>
    <row r="37">
      <c r="A37" s="2" t="inlineStr">
        <is>
          <t>Status</t>
        </is>
      </c>
      <c r="B37" s="2" t="inlineStr">
        <is>
          <t>Used as primary result - within 70% of market price</t>
        </is>
      </c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4" t="inlineStr">
        <is>
          <t>Tier 2 Assumptions - Smoothed DCF</t>
        </is>
      </c>
      <c r="B40" s="2" t="n"/>
      <c r="C40" s="2" t="n"/>
      <c r="D40" s="2" t="n"/>
      <c r="E40" s="2" t="n"/>
      <c r="F40" s="2" t="n"/>
    </row>
    <row r="41">
      <c r="A41" s="3" t="inlineStr">
        <is>
          <t>Assumption</t>
        </is>
      </c>
      <c r="B41" s="3" t="inlineStr">
        <is>
          <t>Value</t>
        </is>
      </c>
      <c r="C41" s="3" t="inlineStr">
        <is>
          <t>Source</t>
        </is>
      </c>
      <c r="D41" s="2" t="n"/>
      <c r="E41" s="2" t="n"/>
      <c r="F41" s="2" t="n"/>
    </row>
    <row r="42">
      <c r="A42" s="2" t="inlineStr">
        <is>
          <t>Revenue growth % per year</t>
        </is>
      </c>
      <c r="B42" s="16" t="n">
        <v>0.01812535743479393</v>
      </c>
      <c r="C42" s="2" t="inlineStr">
        <is>
          <t>3-year CAGR (FY2022-FY2025, 3 growth periods); floored at 0%</t>
        </is>
      </c>
      <c r="D42" s="2" t="n"/>
      <c r="E42" s="2" t="n"/>
      <c r="F42" s="2" t="n"/>
    </row>
    <row r="43">
      <c r="A43" s="2" t="inlineStr">
        <is>
          <t>EBIT margin %</t>
        </is>
      </c>
      <c r="B43" s="16" t="n">
        <v>0.3110081163256406</v>
      </c>
      <c r="C43" s="2" t="inlineStr">
        <is>
          <t>3-year historical average</t>
        </is>
      </c>
      <c r="D43" s="2" t="n"/>
      <c r="E43" s="2" t="n"/>
      <c r="F43" s="2" t="n"/>
    </row>
    <row r="44">
      <c r="A44" s="2" t="inlineStr">
        <is>
          <t>Tax rate</t>
        </is>
      </c>
      <c r="B44" s="16" t="n">
        <v>0.1561000233558604</v>
      </c>
      <c r="C44" s="2" t="inlineStr">
        <is>
          <t>Company effective tax rate</t>
        </is>
      </c>
      <c r="D44" s="2" t="n"/>
      <c r="E44" s="2" t="n"/>
      <c r="F44" s="2" t="n"/>
    </row>
    <row r="45">
      <c r="A45" s="2" t="inlineStr">
        <is>
          <t>D&amp;A % revenue</t>
        </is>
      </c>
      <c r="B45" s="16" t="n">
        <v>0.02889761166940512</v>
      </c>
      <c r="C45" s="2" t="inlineStr">
        <is>
          <t>5-year historical average</t>
        </is>
      </c>
      <c r="D45" s="2" t="n"/>
      <c r="E45" s="2" t="n"/>
      <c r="F45" s="2" t="n"/>
    </row>
    <row r="46">
      <c r="A46" s="2" t="inlineStr">
        <is>
          <t>CapEx % revenue</t>
        </is>
      </c>
      <c r="B46" s="16" t="n">
        <v>0.02761485036770544</v>
      </c>
      <c r="C46" s="2" t="inlineStr">
        <is>
          <t>5-year historical average</t>
        </is>
      </c>
      <c r="D46" s="2" t="n"/>
      <c r="E46" s="2" t="n"/>
      <c r="F46" s="2" t="n"/>
    </row>
    <row r="47">
      <c r="A47" s="2" t="inlineStr">
        <is>
          <t>Working capital % revenue</t>
        </is>
      </c>
      <c r="B47" s="16" t="n">
        <v>-0.03562267956525364</v>
      </c>
      <c r="C47" s="2" t="inlineStr">
        <is>
          <t>3-year historical average</t>
        </is>
      </c>
      <c r="D47" s="2" t="n"/>
      <c r="E47" s="2" t="n"/>
      <c r="F47" s="2" t="n"/>
    </row>
    <row r="48">
      <c r="A48" s="2" t="inlineStr">
        <is>
          <t>Terminal growth rate</t>
        </is>
      </c>
      <c r="B48" s="16" t="n">
        <v>0.01812535743479393</v>
      </c>
      <c r="C48" s="2" t="inlineStr">
        <is>
          <t>3-year CAGR (FY2022-FY2025, 3 growth periods); capped to 1.5%-2.5% terminal range</t>
        </is>
      </c>
      <c r="D48" s="2" t="n"/>
      <c r="E48" s="2" t="n"/>
      <c r="F48" s="2" t="n"/>
    </row>
    <row r="49">
      <c r="A49" s="2" t="inlineStr">
        <is>
          <t>Discount rate = WACC</t>
        </is>
      </c>
      <c r="B49" s="16" t="n">
        <v>0.09415752623037749</v>
      </c>
      <c r="C49" s="2" t="inlineStr">
        <is>
          <t>WACC from CAPM + cost of debt</t>
        </is>
      </c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4" t="inlineStr">
        <is>
          <t>Tier 2 FCF projections</t>
        </is>
      </c>
      <c r="B51" s="2" t="n"/>
      <c r="C51" s="2" t="n"/>
      <c r="D51" s="2" t="n"/>
      <c r="E51" s="2" t="n"/>
      <c r="F51" s="2" t="n"/>
    </row>
    <row r="52">
      <c r="A52" s="3" t="inlineStr">
        <is>
          <t>Year</t>
        </is>
      </c>
      <c r="B52" s="3" t="inlineStr">
        <is>
          <t>Revenue</t>
        </is>
      </c>
      <c r="C52" s="3" t="inlineStr">
        <is>
          <t>EBIT</t>
        </is>
      </c>
      <c r="D52" s="3" t="inlineStr">
        <is>
          <t>FCF</t>
        </is>
      </c>
      <c r="E52" s="3" t="inlineStr">
        <is>
          <t>PV FCF</t>
        </is>
      </c>
      <c r="F52" s="2" t="n"/>
    </row>
    <row r="53">
      <c r="A53" s="2" t="inlineStr">
        <is>
          <t>Year 1</t>
        </is>
      </c>
      <c r="B53" s="13" t="n">
        <v>423704.0668754213</v>
      </c>
      <c r="C53" s="13" t="n">
        <v>131775.403718438</v>
      </c>
      <c r="D53" s="13" t="n">
        <v>112017.4755548649</v>
      </c>
      <c r="E53" s="13" t="n">
        <v>102377.8321397565</v>
      </c>
      <c r="F53" s="2" t="n"/>
    </row>
    <row r="54">
      <c r="A54" s="2" t="inlineStr">
        <is>
          <t>Year 2</t>
        </is>
      </c>
      <c r="B54" s="13" t="n">
        <v>431383.8545341141</v>
      </c>
      <c r="C54" s="13" t="n">
        <v>134163.880011949</v>
      </c>
      <c r="D54" s="13" t="n">
        <v>114047.8323382401</v>
      </c>
      <c r="E54" s="13" t="n">
        <v>95263.67496625197</v>
      </c>
      <c r="F54" s="2" t="n"/>
    </row>
    <row r="55">
      <c r="A55" s="2" t="inlineStr">
        <is>
          <t>Year 3</t>
        </is>
      </c>
      <c r="B55" s="13" t="n">
        <v>439202.8410891441</v>
      </c>
      <c r="C55" s="13" t="n">
        <v>136595.6482920044</v>
      </c>
      <c r="D55" s="13" t="n">
        <v>116114.9900640341</v>
      </c>
      <c r="E55" s="13" t="n">
        <v>88643.87512803685</v>
      </c>
      <c r="F55" s="2" t="n"/>
    </row>
    <row r="56">
      <c r="A56" s="2" t="inlineStr">
        <is>
          <t>Year 4</t>
        </is>
      </c>
      <c r="B56" s="13" t="n">
        <v>447163.5495702619</v>
      </c>
      <c r="C56" s="13" t="n">
        <v>139071.4932413343</v>
      </c>
      <c r="D56" s="13" t="n">
        <v>118219.6157624823</v>
      </c>
      <c r="E56" s="13" t="n">
        <v>82484.08011236883</v>
      </c>
      <c r="F56" s="2" t="n"/>
    </row>
    <row r="57">
      <c r="A57" s="2" t="inlineStr">
        <is>
          <t>Year 5</t>
        </is>
      </c>
      <c r="B57" s="13" t="n">
        <v>455268.548738034</v>
      </c>
      <c r="C57" s="13" t="n">
        <v>141592.2137653241</v>
      </c>
      <c r="D57" s="13" t="n">
        <v>120362.3885539813</v>
      </c>
      <c r="E57" s="13" t="n">
        <v>76752.32453631514</v>
      </c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inlineStr">
        <is>
          <t>Terminal value</t>
        </is>
      </c>
      <c r="B59" s="13" t="n">
        <v>1611738.844352759</v>
      </c>
      <c r="C59" s="2" t="n"/>
      <c r="D59" s="2" t="n"/>
      <c r="E59" s="2" t="n"/>
      <c r="F59" s="2" t="n"/>
    </row>
    <row r="60">
      <c r="A60" s="2" t="inlineStr">
        <is>
          <t>PV terminal value</t>
        </is>
      </c>
      <c r="B60" s="13" t="n">
        <v>1027768.760122837</v>
      </c>
      <c r="C60" s="2" t="n"/>
      <c r="D60" s="2" t="n"/>
      <c r="E60" s="2" t="n"/>
      <c r="F60" s="2" t="n"/>
    </row>
    <row r="61">
      <c r="A61" s="2" t="inlineStr">
        <is>
          <t>Enterprise value</t>
        </is>
      </c>
      <c r="B61" s="13" t="n">
        <v>1473290.547005566</v>
      </c>
      <c r="C61" s="2" t="n"/>
      <c r="D61" s="2" t="n"/>
      <c r="E61" s="2" t="n"/>
      <c r="F61" s="2" t="n"/>
    </row>
    <row r="62">
      <c r="A62" s="2" t="inlineStr">
        <is>
          <t>Equity value</t>
        </is>
      </c>
      <c r="B62" s="13" t="n">
        <v>1410567.547005566</v>
      </c>
      <c r="C62" s="2" t="n"/>
      <c r="D62" s="2" t="n"/>
      <c r="E62" s="2" t="n"/>
      <c r="F62" s="2" t="n"/>
    </row>
    <row r="63">
      <c r="A63" s="2" t="inlineStr">
        <is>
          <t>Implied share price</t>
        </is>
      </c>
      <c r="B63" s="9" t="n">
        <v>96.03958309484473</v>
      </c>
      <c r="C63" s="2" t="n"/>
      <c r="D63" s="2" t="n"/>
      <c r="E63" s="2" t="n"/>
      <c r="F63" s="2" t="n"/>
    </row>
    <row r="64">
      <c r="A64" s="2" t="inlineStr">
        <is>
          <t>Upside / downside</t>
        </is>
      </c>
      <c r="B64" s="6" t="n">
        <v>-0.6659608949433247</v>
      </c>
      <c r="C64" s="2" t="n"/>
      <c r="D64" s="2" t="n"/>
      <c r="E64" s="2" t="n"/>
      <c r="F64" s="2" t="n"/>
    </row>
    <row r="65">
      <c r="A65" s="2" t="inlineStr">
        <is>
          <t>Status</t>
        </is>
      </c>
      <c r="B65" s="2" t="inlineStr">
        <is>
          <t>ACCEPTED - within 70% of market price</t>
        </is>
      </c>
      <c r="C65" s="2" t="n"/>
      <c r="D65" s="2" t="n"/>
      <c r="E65" s="2" t="n"/>
      <c r="F65" s="2" t="n"/>
    </row>
    <row r="66">
      <c r="A66" s="2" t="n"/>
      <c r="B66" s="2" t="n"/>
      <c r="C66" s="2" t="n"/>
      <c r="D66" s="2" t="n"/>
      <c r="E66" s="2" t="n"/>
      <c r="F66" s="2" t="n"/>
    </row>
    <row r="67">
      <c r="A67" s="2" t="n"/>
      <c r="B67" s="2" t="n"/>
      <c r="C67" s="2" t="n"/>
      <c r="D67" s="2" t="n"/>
      <c r="E67" s="2" t="n"/>
      <c r="F67" s="2" t="n"/>
    </row>
    <row r="68">
      <c r="A68" s="4" t="inlineStr">
        <is>
          <t>Tier 3 Assumptions - Sector Benchmark DCF</t>
        </is>
      </c>
      <c r="B68" s="2" t="n"/>
      <c r="C68" s="2" t="n"/>
      <c r="D68" s="2" t="n"/>
      <c r="E68" s="2" t="n"/>
      <c r="F68" s="2" t="n"/>
    </row>
    <row r="69">
      <c r="A69" s="3" t="inlineStr">
        <is>
          <t>Assumption</t>
        </is>
      </c>
      <c r="B69" s="3" t="inlineStr">
        <is>
          <t>Value</t>
        </is>
      </c>
      <c r="C69" s="3" t="inlineStr">
        <is>
          <t>Source</t>
        </is>
      </c>
      <c r="D69" s="2" t="n"/>
      <c r="E69" s="2" t="n"/>
      <c r="F69" s="2" t="n"/>
    </row>
    <row r="70">
      <c r="A70" s="2" t="inlineStr">
        <is>
          <t>Revenue growth % per year</t>
        </is>
      </c>
      <c r="B70" s="16" t="n">
        <v>0.025</v>
      </c>
      <c r="C70" s="2" t="inlineStr">
        <is>
          <t>terminal-level 2.5% benchmark assumption</t>
        </is>
      </c>
      <c r="D70" s="2" t="n"/>
      <c r="E70" s="2" t="n"/>
      <c r="F70" s="2" t="n"/>
    </row>
    <row r="71">
      <c r="A71" s="2" t="inlineStr">
        <is>
          <t>EBIT margin %</t>
        </is>
      </c>
      <c r="B71" s="16" t="n">
        <v>-0.002013229455271665</v>
      </c>
      <c r="C71" s="2" t="inlineStr">
        <is>
          <t>Damodaran sector benchmark: Electronics (Consumer &amp; Office)</t>
        </is>
      </c>
      <c r="D71" s="2" t="n"/>
      <c r="E71" s="2" t="n"/>
      <c r="F71" s="2" t="n"/>
    </row>
    <row r="72">
      <c r="A72" s="2" t="inlineStr">
        <is>
          <t>Tax rate</t>
        </is>
      </c>
      <c r="B72" s="16" t="n">
        <v>0.1561000233558604</v>
      </c>
      <c r="C72" s="2" t="inlineStr">
        <is>
          <t>Company effective tax rate</t>
        </is>
      </c>
      <c r="D72" s="2" t="n"/>
      <c r="E72" s="2" t="n"/>
      <c r="F72" s="2" t="n"/>
    </row>
    <row r="73">
      <c r="A73" s="2" t="inlineStr">
        <is>
          <t>D&amp;A % revenue</t>
        </is>
      </c>
      <c r="B73" s="16" t="n">
        <v>0.02889761166940512</v>
      </c>
      <c r="C73" s="2" t="inlineStr">
        <is>
          <t>company 5-year historical average</t>
        </is>
      </c>
      <c r="D73" s="2" t="n"/>
      <c r="E73" s="2" t="n"/>
      <c r="F73" s="2" t="n"/>
    </row>
    <row r="74">
      <c r="A74" s="2" t="inlineStr">
        <is>
          <t>CapEx % revenue</t>
        </is>
      </c>
      <c r="B74" s="16" t="n">
        <v>0.03840338787720921</v>
      </c>
      <c r="C74" s="2" t="inlineStr">
        <is>
          <t>Damodaran sector benchmark: Electronics (Consumer &amp; Office)</t>
        </is>
      </c>
      <c r="D74" s="2" t="n"/>
      <c r="E74" s="2" t="n"/>
      <c r="F74" s="2" t="n"/>
    </row>
    <row r="75">
      <c r="A75" s="2" t="inlineStr">
        <is>
          <t>Working capital % revenue</t>
        </is>
      </c>
      <c r="B75" s="16" t="n">
        <v>-0.03562267956525364</v>
      </c>
      <c r="C75" s="2" t="inlineStr">
        <is>
          <t>3-year historical average</t>
        </is>
      </c>
      <c r="D75" s="2" t="n"/>
      <c r="E75" s="2" t="n"/>
      <c r="F75" s="2" t="n"/>
    </row>
    <row r="76">
      <c r="A76" s="2" t="inlineStr">
        <is>
          <t>Terminal growth rate</t>
        </is>
      </c>
      <c r="B76" s="16" t="n">
        <v>0.01812535743479393</v>
      </c>
      <c r="C76" s="2" t="inlineStr">
        <is>
          <t>3-year CAGR (FY2022-FY2025, 3 growth periods); capped to 1.5%-2.5% terminal range</t>
        </is>
      </c>
      <c r="D76" s="2" t="n"/>
      <c r="E76" s="2" t="n"/>
      <c r="F76" s="2" t="n"/>
    </row>
    <row r="77">
      <c r="A77" s="2" t="inlineStr">
        <is>
          <t>Discount rate = WACC</t>
        </is>
      </c>
      <c r="B77" s="16" t="n">
        <v>0.09415752623037749</v>
      </c>
      <c r="C77" s="2" t="inlineStr">
        <is>
          <t>WACC from CAPM + cost of debt</t>
        </is>
      </c>
      <c r="D77" s="2" t="n"/>
      <c r="E77" s="2" t="n"/>
      <c r="F77" s="2" t="n"/>
    </row>
    <row r="78">
      <c r="A78" s="2" t="n"/>
      <c r="B78" s="2" t="n"/>
      <c r="C78" s="2" t="n"/>
      <c r="D78" s="2" t="n"/>
      <c r="E78" s="2" t="n"/>
      <c r="F78" s="2" t="n"/>
    </row>
    <row r="79">
      <c r="A79" s="2" t="inlineStr">
        <is>
          <t>Tier 3 not applicable - Damodaran sector benchmark EBIT margin is non-positive (Electronics (Consumer &amp; Office): -0.20%). This typically occurs in fragmented sectors with many unprofitable small companies. A profitable target company is unlikely to be valued at sector-bottom margins.</t>
        </is>
      </c>
      <c r="B79" s="2" t="n"/>
      <c r="C79" s="2" t="n"/>
      <c r="D79" s="2" t="n"/>
      <c r="E79" s="2" t="n"/>
      <c r="F79" s="2" t="n"/>
    </row>
    <row r="80">
      <c r="A80" s="2" t="n"/>
      <c r="B80" s="2" t="n"/>
      <c r="C80" s="2" t="n"/>
      <c r="D80" s="2" t="n"/>
      <c r="E80" s="2" t="n"/>
      <c r="F80" s="2" t="n"/>
    </row>
    <row r="81">
      <c r="A81" s="2" t="inlineStr">
        <is>
          <t>Status</t>
        </is>
      </c>
      <c r="B81" s="2" t="inlineStr">
        <is>
          <t>SKIPPED - sector benchmark not applicable</t>
        </is>
      </c>
      <c r="C81" s="2" t="n"/>
      <c r="D81" s="2" t="n"/>
      <c r="E81" s="2" t="n"/>
      <c r="F81" s="2" t="n"/>
    </row>
    <row r="82">
      <c r="A82" s="2" t="n"/>
      <c r="B82" s="2" t="n"/>
      <c r="C82" s="2" t="n"/>
      <c r="D82" s="2" t="n"/>
      <c r="E82" s="2" t="n"/>
      <c r="F82" s="2" t="n"/>
    </row>
    <row r="83">
      <c r="A83" s="2" t="n"/>
      <c r="B83" s="2" t="n"/>
      <c r="C83" s="2" t="n"/>
      <c r="D83" s="2" t="n"/>
      <c r="E83" s="2" t="n"/>
      <c r="F83" s="2" t="n"/>
    </row>
    <row r="84">
      <c r="A84" s="4" t="inlineStr">
        <is>
          <t>Final Selected Result</t>
        </is>
      </c>
      <c r="B84" s="2" t="n"/>
      <c r="C84" s="2" t="n"/>
      <c r="D84" s="2" t="n"/>
      <c r="E84" s="2" t="n"/>
      <c r="F84" s="2" t="n"/>
    </row>
    <row r="85">
      <c r="A85" s="2" t="inlineStr">
        <is>
          <t>Selected tier</t>
        </is>
      </c>
      <c r="B85" s="2" t="inlineStr">
        <is>
          <t>Tier 1 - standard</t>
        </is>
      </c>
      <c r="C85" s="2" t="n"/>
      <c r="D85" s="2" t="n"/>
      <c r="E85" s="2" t="n"/>
      <c r="F85" s="2" t="n"/>
    </row>
    <row r="86">
      <c r="A86" s="2" t="inlineStr">
        <is>
          <t>Selected estimate</t>
        </is>
      </c>
      <c r="B86" s="8" t="n">
        <v>98.86045476713234</v>
      </c>
      <c r="C86" s="2" t="n"/>
      <c r="D86" s="2" t="n"/>
      <c r="E86" s="2" t="n"/>
      <c r="F86" s="2" t="n"/>
    </row>
    <row r="87">
      <c r="A87" s="2" t="inlineStr">
        <is>
          <t>Current market price</t>
        </is>
      </c>
      <c r="B87" s="9" t="n">
        <v>287.51</v>
      </c>
      <c r="C87" s="2" t="n"/>
      <c r="D87" s="2" t="n"/>
      <c r="E87" s="2" t="n"/>
      <c r="F87" s="2" t="n"/>
    </row>
    <row r="88">
      <c r="A88" s="2" t="inlineStr">
        <is>
          <t>Upside / downside</t>
        </is>
      </c>
      <c r="B88" s="6" t="n">
        <v>-0.6561495086531517</v>
      </c>
      <c r="C88" s="2" t="n"/>
      <c r="D88" s="2" t="n"/>
      <c r="E88" s="2" t="n"/>
      <c r="F88" s="2" t="n"/>
    </row>
    <row r="89">
      <c r="A89" s="2" t="inlineStr">
        <is>
          <t>Confidence</t>
        </is>
      </c>
      <c r="B89" s="2" t="inlineStr">
        <is>
          <t>NORMAL - standard DCF assumptions</t>
        </is>
      </c>
      <c r="C89" s="2" t="n"/>
      <c r="D89" s="2" t="n"/>
      <c r="E89" s="2" t="n"/>
      <c r="F89" s="2" t="n"/>
    </row>
    <row r="90">
      <c r="A90" s="2" t="inlineStr">
        <is>
          <t>Reason</t>
        </is>
      </c>
      <c r="B90" s="2" t="inlineStr">
        <is>
          <t>Standard DCF uses current company financials and passed sanity checks.</t>
        </is>
      </c>
      <c r="C90" s="2" t="n"/>
      <c r="D90" s="2" t="n"/>
      <c r="E90" s="2" t="n"/>
      <c r="F90" s="2" t="n"/>
    </row>
    <row r="91">
      <c r="A91" s="2" t="n"/>
      <c r="B91" s="2" t="n"/>
      <c r="C91" s="2" t="n"/>
      <c r="D91" s="2" t="n"/>
      <c r="E91" s="2" t="n"/>
      <c r="F91" s="2" t="n"/>
    </row>
    <row r="92">
      <c r="A92" s="4" t="inlineStr">
        <is>
          <t>Reverse DCF Analysis</t>
        </is>
      </c>
      <c r="B92" s="2" t="n"/>
      <c r="C92" s="2" t="n"/>
      <c r="D92" s="2" t="n"/>
      <c r="E92" s="2" t="n"/>
      <c r="F92" s="2" t="n"/>
    </row>
    <row r="93">
      <c r="A93" s="3" t="inlineStr">
        <is>
          <t>Metric</t>
        </is>
      </c>
      <c r="B93" s="3" t="inlineStr">
        <is>
          <t>Value</t>
        </is>
      </c>
      <c r="C93" s="3" t="inlineStr">
        <is>
          <t>Source</t>
        </is>
      </c>
      <c r="D93" s="2" t="n"/>
      <c r="E93" s="2" t="n"/>
      <c r="F93" s="2" t="n"/>
    </row>
    <row r="94">
      <c r="A94" s="2" t="inlineStr">
        <is>
          <t>Implied growth rate from reverse DCF</t>
        </is>
      </c>
      <c r="B94" s="6" t="n">
        <v>0.2754297256469728</v>
      </c>
      <c r="C94" s="2" t="inlineStr">
        <is>
          <t>Solved from current market price using Tier 1 DCF inputs</t>
        </is>
      </c>
      <c r="D94" s="2" t="n"/>
      <c r="E94" s="2" t="n"/>
      <c r="F94" s="2" t="n"/>
    </row>
    <row r="95">
      <c r="A95" s="2" t="inlineStr">
        <is>
          <t>Tier 1 assumed growth rate</t>
        </is>
      </c>
      <c r="B95" s="6" t="n">
        <v>0.01812535743479393</v>
      </c>
      <c r="C95" s="2" t="inlineStr">
        <is>
          <t>Same as Tier 1 DCF assumption: 3-year CAGR (FY2022-FY2025, 3 growth periods)</t>
        </is>
      </c>
      <c r="D95" s="2" t="n"/>
      <c r="E95" s="2" t="n"/>
      <c r="F95" s="2" t="n"/>
    </row>
    <row r="96">
      <c r="A96" s="2" t="inlineStr">
        <is>
          <t>Analyst consensus growth rate</t>
        </is>
      </c>
      <c r="B96" s="6" t="n">
        <v>0.166</v>
      </c>
      <c r="C96" s="2" t="inlineStr">
        <is>
          <t>yfinance revenueGrowth</t>
        </is>
      </c>
      <c r="D96" s="2" t="n"/>
      <c r="E96" s="2" t="n"/>
      <c r="F96" s="2" t="n"/>
    </row>
    <row r="97">
      <c r="A97" s="2" t="inlineStr">
        <is>
          <t>Gap: implied vs Tier 1 assumed</t>
        </is>
      </c>
      <c r="B97" s="17" t="n">
        <v>25.73043682121788</v>
      </c>
      <c r="C97" s="2" t="inlineStr">
        <is>
          <t>Calculated: implied minus Tier 1 assumed (in percentage points)</t>
        </is>
      </c>
      <c r="D97" s="2" t="n"/>
      <c r="E97" s="2" t="n"/>
      <c r="F97" s="2" t="n"/>
    </row>
    <row r="98">
      <c r="A98" s="2" t="inlineStr">
        <is>
          <t>Interpretation</t>
        </is>
      </c>
      <c r="B98" s="2" t="inlineStr">
        <is>
          <t>Market is pricing in higher growth than the model assumes - this explains the negative valuation gap.</t>
        </is>
      </c>
      <c r="C98" s="2" t="inlineStr">
        <is>
          <t>Generated from gap analysis logic</t>
        </is>
      </c>
      <c r="D98" s="2" t="n"/>
      <c r="E98" s="2" t="n"/>
      <c r="F98" s="2" t="n"/>
    </row>
  </sheetData>
  <mergeCells count="2">
    <mergeCell ref="A1:F1"/>
    <mergeCell ref="A79:E7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26" customWidth="1" min="3" max="3"/>
    <col width="22" customWidth="1" min="4" max="4"/>
    <col width="10" customWidth="1" min="5" max="5"/>
    <col width="42" customWidth="1" min="6" max="6"/>
  </cols>
  <sheetData>
    <row r="1">
      <c r="A1" s="1" t="inlineStr">
        <is>
          <t>Validation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2" t="inlineStr">
        <is>
          <t>Source: https://pages.stern.nyu.edu/~adamodar/pc/datasets/wacc.xls - Updated January 2026</t>
        </is>
      </c>
      <c r="B3" s="2" t="n"/>
      <c r="C3" s="2" t="n"/>
      <c r="D3" s="2" t="n"/>
      <c r="E3" s="2" t="n"/>
      <c r="F3" s="2" t="n"/>
    </row>
    <row r="4">
      <c r="A4" s="3" t="inlineStr">
        <is>
          <t>Metric</t>
        </is>
      </c>
      <c r="B4" s="3" t="inlineStr">
        <is>
          <t>Calculated</t>
        </is>
      </c>
      <c r="C4" s="3" t="inlineStr">
        <is>
          <t>Damodaran (industry avg)</t>
        </is>
      </c>
      <c r="D4" s="3" t="inlineStr">
        <is>
          <t>Difference</t>
        </is>
      </c>
      <c r="E4" s="3" t="inlineStr">
        <is>
          <t>Status</t>
        </is>
      </c>
      <c r="F4" s="3" t="inlineStr">
        <is>
          <t>Note</t>
        </is>
      </c>
    </row>
    <row r="5">
      <c r="A5" s="2" t="inlineStr">
        <is>
          <t>Cost of Equity</t>
        </is>
      </c>
      <c r="B5" s="6" t="n">
        <v>0.09557134986046815</v>
      </c>
      <c r="C5" s="6" t="n">
        <v>0.07812261962427852</v>
      </c>
      <c r="D5" s="18" t="n">
        <v>0.01744873023618963</v>
      </c>
      <c r="E5" s="19" t="inlineStr">
        <is>
          <t>✓ OK</t>
        </is>
      </c>
      <c r="F5" s="2" t="inlineStr"/>
    </row>
    <row r="6">
      <c r="A6" s="2" t="inlineStr">
        <is>
          <t>Cost of Debt</t>
        </is>
      </c>
      <c r="B6" s="6" t="n">
        <v>0.03986539221748077</v>
      </c>
      <c r="C6" s="6" t="n">
        <v>0.060195</v>
      </c>
      <c r="D6" s="18" t="n">
        <v>-0.02032960778251923</v>
      </c>
      <c r="E6" s="19" t="inlineStr">
        <is>
          <t>✓ OK</t>
        </is>
      </c>
      <c r="F6" s="2" t="inlineStr"/>
    </row>
    <row r="7">
      <c r="A7" s="2" t="inlineStr">
        <is>
          <t>WACC</t>
        </is>
      </c>
      <c r="B7" s="6" t="n">
        <v>0.09415752623037749</v>
      </c>
      <c r="C7" s="6" t="n">
        <v>0.07631357052138382</v>
      </c>
      <c r="D7" s="18" t="n">
        <v>0.01784395570899366</v>
      </c>
      <c r="E7" s="19" t="inlineStr">
        <is>
          <t>✓ OK</t>
        </is>
      </c>
      <c r="F7" s="2" t="inlineStr"/>
    </row>
    <row r="8">
      <c r="A8" s="2" t="inlineStr">
        <is>
          <t>Tax rate</t>
        </is>
      </c>
      <c r="B8" s="6" t="n">
        <v>0.1561000233558604</v>
      </c>
      <c r="C8" s="6" t="n">
        <v>0.25</v>
      </c>
      <c r="D8" s="18" t="n">
        <v>-0.09389997664413957</v>
      </c>
      <c r="E8" s="20" t="inlineStr">
        <is>
          <t>⚠ Review</t>
        </is>
      </c>
      <c r="F8" s="2" t="inlineStr">
        <is>
          <t>Effective tax rate below standard marginal rate may reflect tax shields, carryforwards, or favorable jurisdictions; common for global tech and pharma companies</t>
        </is>
      </c>
    </row>
    <row r="9">
      <c r="A9" s="21" t="inlineStr">
        <is>
          <t>Tax rate comparison uses Damodaran's marginal tax-rate convention, because industry effective tax rates can be near zero when sectors have widespread tax shields, NOLs, or offshore structures.</t>
        </is>
      </c>
      <c r="B9" s="2" t="n"/>
      <c r="C9" s="2" t="n"/>
      <c r="D9" s="2" t="n"/>
      <c r="E9" s="2" t="n"/>
      <c r="F9" s="2" t="n"/>
    </row>
    <row r="10">
      <c r="A10" s="21" t="inlineStr">
        <is>
          <t>Industry effective tax rate (Damodaran raw): 0.00%, indicating widespread tax shield use in this sector.</t>
        </is>
      </c>
      <c r="B10" s="2" t="n"/>
      <c r="C10" s="2" t="n"/>
      <c r="D10" s="2" t="n"/>
      <c r="E10" s="2" t="n"/>
      <c r="F10" s="2" t="n"/>
    </row>
    <row r="11">
      <c r="A11" s="4" t="inlineStr">
        <is>
          <t>Sanity checks</t>
        </is>
      </c>
      <c r="B11" s="2" t="n"/>
      <c r="C11" s="2" t="n"/>
      <c r="D11" s="2" t="n"/>
      <c r="E11" s="2" t="n"/>
      <c r="F11" s="2" t="n"/>
    </row>
    <row r="12">
      <c r="A12" s="3" t="inlineStr">
        <is>
          <t>Severity</t>
        </is>
      </c>
      <c r="B12" s="3" t="inlineStr">
        <is>
          <t>Message</t>
        </is>
      </c>
      <c r="C12" s="2" t="n"/>
      <c r="D12" s="2" t="n"/>
      <c r="E12" s="2" t="n"/>
      <c r="F12" s="2" t="n"/>
    </row>
    <row r="13">
      <c r="A13" s="2" t="inlineStr">
        <is>
          <t>warning</t>
        </is>
      </c>
      <c r="B13" s="2" t="inlineStr">
        <is>
          <t>Implied price differs significantly from market price (65.6% downside). Possible explanations: DCF assumptions may not reflect market expectations (revenue growth, margins, terminal growth); company may trade at a premium/discount that historical financials do not capture; or the simplified DCF may miss business-specific factors. Review the data-driven DCF assumptions in the Scenario tab before relying on the result.</t>
        </is>
      </c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Valuation Tier Used</t>
        </is>
      </c>
      <c r="B16" s="2" t="n"/>
      <c r="C16" s="2" t="n"/>
      <c r="D16" s="2" t="n"/>
      <c r="E16" s="2" t="n"/>
      <c r="F16" s="2" t="n"/>
    </row>
    <row r="17">
      <c r="A17" s="3" t="inlineStr">
        <is>
          <t>Severity</t>
        </is>
      </c>
      <c r="B17" s="3" t="inlineStr">
        <is>
          <t>Message</t>
        </is>
      </c>
      <c r="C17" s="2" t="n"/>
      <c r="D17" s="2" t="n"/>
      <c r="E17" s="2" t="n"/>
      <c r="F17" s="2" t="n"/>
    </row>
    <row r="18">
      <c r="A18" s="2" t="inlineStr">
        <is>
          <t>info</t>
        </is>
      </c>
      <c r="B18" s="2" t="inlineStr">
        <is>
          <t>Standard DCF passed the primary sanity checks.</t>
        </is>
      </c>
      <c r="C18" s="2" t="n"/>
      <c r="D18" s="2" t="n"/>
      <c r="E18" s="2" t="n"/>
      <c r="F18" s="2" t="n"/>
    </row>
  </sheetData>
  <mergeCells count="3">
    <mergeCell ref="A1:F1"/>
    <mergeCell ref="A9:F9"/>
    <mergeCell ref="A10:F10"/>
  </mergeCells>
  <conditionalFormatting sqref="E5:E8">
    <cfRule type="expression" priority="1" dxfId="0">
      <formula>ISNUMBER(SEARCH("OK",E5))</formula>
    </cfRule>
    <cfRule type="expression" priority="2" dxfId="1">
      <formula>ISNUMBER(SEARCH("Review",E5))</formula>
    </cfRule>
    <cfRule type="expression" priority="3" dxfId="2">
      <formula>OR(ISNUMBER(SEARCH("Check",E5)),ISNUMBER(SEARCH("Critical",E5)))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12" customWidth="1" min="3" max="3"/>
    <col width="13" customWidth="1" min="4" max="4"/>
    <col width="21" customWidth="1" min="5" max="5"/>
    <col width="21" customWidth="1" min="6" max="6"/>
    <col width="16" customWidth="1" min="7" max="7"/>
    <col width="10" customWidth="1" min="8" max="8"/>
    <col width="12" customWidth="1" min="9" max="9"/>
    <col width="15" customWidth="1" min="10" max="10"/>
    <col width="20" customWidth="1" min="11" max="11"/>
    <col width="21" customWidth="1" min="12" max="12"/>
    <col width="20" customWidth="1" min="13" max="13"/>
    <col width="19" customWidth="1" min="14" max="14"/>
    <col width="20" customWidth="1" min="15" max="15"/>
    <col width="20" customWidth="1" min="16" max="16"/>
    <col width="10" customWidth="1" min="17" max="17"/>
  </cols>
  <sheetData>
    <row r="1">
      <c r="A1" s="1" t="inlineStr">
        <is>
          <t>Raw Data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2" t="inlineStr">
        <is>
          <t>Source</t>
        </is>
      </c>
      <c r="B3" s="2" t="inlineStr">
        <is>
          <t>Data sources: Yahoo Finance via yfinance. Market and analyst data availability varies by ticker.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2" t="inlineStr">
        <is>
          <t>Generated</t>
        </is>
      </c>
      <c r="B4" s="2" t="inlineStr">
        <is>
          <t>07.05.2026 10:32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>
      <c r="A5" s="2" t="inlineStr">
        <is>
          <t>Disclaimer</t>
        </is>
      </c>
      <c r="B5" s="2" t="inlineStr">
        <is>
          <t>Tämä on opiskelutarkoituksiin tehty työkalu, ei sijoitusneuvonta.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</row>
    <row r="6">
      <c r="A6" s="2" t="inlineStr">
        <is>
          <t>Ticker</t>
        </is>
      </c>
      <c r="B6" s="2" t="inlineStr">
        <is>
          <t>AAPL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</row>
    <row r="7">
      <c r="A7" s="2" t="inlineStr">
        <is>
          <t>financialCurrency</t>
        </is>
      </c>
      <c r="B7" s="2" t="inlineStr">
        <is>
          <t>USD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</row>
    <row r="8">
      <c r="A8" s="2" t="inlineStr">
        <is>
          <t>currentPrice</t>
        </is>
      </c>
      <c r="B8" s="2" t="n">
        <v>287.51</v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</row>
    <row r="9">
      <c r="A9" s="2" t="inlineStr">
        <is>
          <t>cash</t>
        </is>
      </c>
      <c r="B9" s="2" t="n">
        <v>35934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</row>
    <row r="10">
      <c r="A10" s="2" t="inlineStr">
        <is>
          <t>sharesOutstanding</t>
        </is>
      </c>
      <c r="B10" s="2" t="n">
        <v>14687356000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</row>
    <row r="11">
      <c r="A11" s="2" t="inlineStr">
        <is>
          <t>Damodaran source</t>
        </is>
      </c>
      <c r="B11" s="2" t="inlineStr">
        <is>
          <t>https://pages.stern.nyu.edu/~adamodar/pc/datasets/betas.xls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</row>
    <row r="12">
      <c r="A12" s="2" t="inlineStr">
        <is>
          <t>Damodaran industry</t>
        </is>
      </c>
      <c r="B12" s="2" t="inlineStr">
        <is>
          <t>Electronics (Consumer &amp; Office)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</row>
    <row r="15">
      <c r="A15" s="4" t="inlineStr">
        <is>
          <t>Income Statement Metrics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</row>
    <row r="16">
      <c r="A16" s="3" t="inlineStr">
        <is>
          <t>year</t>
        </is>
      </c>
      <c r="B16" s="3" t="inlineStr">
        <is>
          <t>period</t>
        </is>
      </c>
      <c r="C16" s="3" t="inlineStr">
        <is>
          <t>period_end</t>
        </is>
      </c>
      <c r="D16" s="3" t="inlineStr">
        <is>
          <t>period_type</t>
        </is>
      </c>
      <c r="E16" s="3" t="inlineStr">
        <is>
          <t>revenue</t>
        </is>
      </c>
      <c r="F16" s="3" t="inlineStr">
        <is>
          <t>gross_profit</t>
        </is>
      </c>
      <c r="G16" s="3" t="inlineStr">
        <is>
          <t>ebitda</t>
        </is>
      </c>
      <c r="H16" s="3" t="inlineStr">
        <is>
          <t>ebit</t>
        </is>
      </c>
      <c r="I16" s="3" t="inlineStr">
        <is>
          <t>net_income</t>
        </is>
      </c>
      <c r="J16" s="3" t="inlineStr">
        <is>
          <t>pretax_income</t>
        </is>
      </c>
      <c r="K16" s="3" t="inlineStr">
        <is>
          <t>income_tax_expense</t>
        </is>
      </c>
      <c r="L16" s="3" t="inlineStr">
        <is>
          <t>interest_expense</t>
        </is>
      </c>
      <c r="M16" s="3" t="inlineStr">
        <is>
          <t>gross_margin</t>
        </is>
      </c>
      <c r="N16" s="3" t="inlineStr">
        <is>
          <t>ebitda_margin</t>
        </is>
      </c>
      <c r="O16" s="3" t="inlineStr">
        <is>
          <t>ebit_margin</t>
        </is>
      </c>
      <c r="P16" s="3" t="inlineStr">
        <is>
          <t>net_margin</t>
        </is>
      </c>
      <c r="Q16" s="3" t="inlineStr">
        <is>
          <t>Note</t>
        </is>
      </c>
    </row>
    <row r="17">
      <c r="A17" s="2" t="n">
        <v>2021</v>
      </c>
      <c r="B17" s="2" t="inlineStr">
        <is>
          <t>FY2021 (ended Sep 2021)</t>
        </is>
      </c>
      <c r="C17" s="2" t="inlineStr">
        <is>
          <t>2021-09-30</t>
        </is>
      </c>
      <c r="D17" s="2" t="inlineStr">
        <is>
          <t>FY</t>
        </is>
      </c>
      <c r="E17" s="2" t="n"/>
      <c r="F17" s="2" t="n"/>
      <c r="G17" s="2" t="n"/>
      <c r="H17" s="2" t="n"/>
      <c r="I17" s="2" t="n"/>
      <c r="J17" s="2" t="n"/>
      <c r="K17" s="2" t="n"/>
      <c r="L17" s="2" t="n">
        <v>2645</v>
      </c>
      <c r="M17" s="2" t="n"/>
      <c r="N17" s="2" t="n"/>
      <c r="O17" s="2" t="n"/>
      <c r="P17" s="2" t="n"/>
      <c r="Q17" s="2" t="inlineStr"/>
    </row>
    <row r="18">
      <c r="A18" s="2" t="n">
        <v>2022</v>
      </c>
      <c r="B18" s="2" t="inlineStr">
        <is>
          <t>FY2022 (ended Sep 2022)</t>
        </is>
      </c>
      <c r="C18" s="2" t="inlineStr">
        <is>
          <t>2022-09-30</t>
        </is>
      </c>
      <c r="D18" s="2" t="inlineStr">
        <is>
          <t>FY</t>
        </is>
      </c>
      <c r="E18" s="2" t="n">
        <v>394328</v>
      </c>
      <c r="F18" s="2" t="n">
        <v>170782</v>
      </c>
      <c r="G18" s="2" t="n">
        <v>130541</v>
      </c>
      <c r="H18" s="2" t="n">
        <v>119437</v>
      </c>
      <c r="I18" s="2" t="n">
        <v>99803</v>
      </c>
      <c r="J18" s="2" t="n">
        <v>119103</v>
      </c>
      <c r="K18" s="2" t="n">
        <v>19300</v>
      </c>
      <c r="L18" s="2" t="n">
        <v>2931</v>
      </c>
      <c r="M18" s="2" t="n">
        <v>43.30963056136009</v>
      </c>
      <c r="N18" s="2" t="n">
        <v>33.10467428130896</v>
      </c>
      <c r="O18" s="2" t="n">
        <v>30.28874439552859</v>
      </c>
      <c r="P18" s="2" t="n">
        <v>25.30964070519973</v>
      </c>
      <c r="Q18" s="2" t="inlineStr"/>
    </row>
    <row r="19">
      <c r="A19" s="2" t="n">
        <v>2023</v>
      </c>
      <c r="B19" s="2" t="inlineStr">
        <is>
          <t>FY2023 (ended Sep 2023)</t>
        </is>
      </c>
      <c r="C19" s="2" t="inlineStr">
        <is>
          <t>2023-09-30</t>
        </is>
      </c>
      <c r="D19" s="2" t="inlineStr">
        <is>
          <t>FY</t>
        </is>
      </c>
      <c r="E19" s="2" t="n">
        <v>383285</v>
      </c>
      <c r="F19" s="2" t="n">
        <v>169148</v>
      </c>
      <c r="G19" s="2" t="n">
        <v>125820</v>
      </c>
      <c r="H19" s="2" t="n">
        <v>114301</v>
      </c>
      <c r="I19" s="2" t="n">
        <v>96995</v>
      </c>
      <c r="J19" s="2" t="n">
        <v>113736</v>
      </c>
      <c r="K19" s="2" t="n">
        <v>16741</v>
      </c>
      <c r="L19" s="2" t="n">
        <v>3933</v>
      </c>
      <c r="M19" s="2" t="n">
        <v>44.13112957720756</v>
      </c>
      <c r="N19" s="2" t="n">
        <v>32.82674772036474</v>
      </c>
      <c r="O19" s="2" t="n">
        <v>29.82141226502472</v>
      </c>
      <c r="P19" s="2" t="n">
        <v>25.30623426432028</v>
      </c>
      <c r="Q19" s="2" t="inlineStr"/>
    </row>
    <row r="20">
      <c r="A20" s="2" t="n">
        <v>2024</v>
      </c>
      <c r="B20" s="2" t="inlineStr">
        <is>
          <t>FY2024 (ended Sep 2024)</t>
        </is>
      </c>
      <c r="C20" s="2" t="inlineStr">
        <is>
          <t>2024-09-30</t>
        </is>
      </c>
      <c r="D20" s="2" t="inlineStr">
        <is>
          <t>FY</t>
        </is>
      </c>
      <c r="E20" s="2" t="n">
        <v>391035</v>
      </c>
      <c r="F20" s="2" t="n">
        <v>180683</v>
      </c>
      <c r="G20" s="2" t="n">
        <v>134661</v>
      </c>
      <c r="H20" s="2" t="n">
        <v>123216</v>
      </c>
      <c r="I20" s="2" t="n">
        <v>93736</v>
      </c>
      <c r="J20" s="2" t="n">
        <v>123485</v>
      </c>
      <c r="K20" s="2" t="n">
        <v>29749</v>
      </c>
      <c r="L20" s="2" t="n"/>
      <c r="M20" s="2" t="n">
        <v>46.20634981523393</v>
      </c>
      <c r="N20" s="2" t="n">
        <v>34.43707085043538</v>
      </c>
      <c r="O20" s="2" t="n">
        <v>31.51022287007557</v>
      </c>
      <c r="P20" s="2" t="n">
        <v>23.97125576994387</v>
      </c>
      <c r="Q20" s="2" t="inlineStr"/>
    </row>
    <row r="21">
      <c r="A21" s="2" t="n">
        <v>2025</v>
      </c>
      <c r="B21" s="2" t="inlineStr">
        <is>
          <t>FY2025 (ended Sep 2025)</t>
        </is>
      </c>
      <c r="C21" s="2" t="inlineStr">
        <is>
          <t>2025-09-30</t>
        </is>
      </c>
      <c r="D21" s="2" t="inlineStr">
        <is>
          <t>FY</t>
        </is>
      </c>
      <c r="E21" s="2" t="n">
        <v>416161</v>
      </c>
      <c r="F21" s="2" t="n">
        <v>195201</v>
      </c>
      <c r="G21" s="2" t="n">
        <v>144748</v>
      </c>
      <c r="H21" s="2" t="n">
        <v>133050</v>
      </c>
      <c r="I21" s="2" t="n">
        <v>112010</v>
      </c>
      <c r="J21" s="2" t="n">
        <v>132729</v>
      </c>
      <c r="K21" s="2" t="n">
        <v>20719</v>
      </c>
      <c r="L21" s="2" t="n"/>
      <c r="M21" s="2" t="n">
        <v>46.90516410716045</v>
      </c>
      <c r="N21" s="2" t="n">
        <v>34.78173110887373</v>
      </c>
      <c r="O21" s="2" t="n">
        <v>31.97079976259188</v>
      </c>
      <c r="P21" s="2" t="n">
        <v>26.91506412181824</v>
      </c>
      <c r="Q21" s="2" t="inlineStr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</row>
    <row r="24">
      <c r="A24" s="4" t="inlineStr">
        <is>
          <t>Balance Sheet Metrics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</row>
    <row r="25">
      <c r="A25" s="3" t="inlineStr">
        <is>
          <t>year</t>
        </is>
      </c>
      <c r="B25" s="3" t="inlineStr">
        <is>
          <t>period</t>
        </is>
      </c>
      <c r="C25" s="3" t="inlineStr">
        <is>
          <t>period_end</t>
        </is>
      </c>
      <c r="D25" s="3" t="inlineStr">
        <is>
          <t>period_type</t>
        </is>
      </c>
      <c r="E25" s="3" t="inlineStr">
        <is>
          <t>total_assets</t>
        </is>
      </c>
      <c r="F25" s="3" t="inlineStr">
        <is>
          <t>total_liabilities</t>
        </is>
      </c>
      <c r="G25" s="3" t="inlineStr">
        <is>
          <t>total_equity</t>
        </is>
      </c>
      <c r="H25" s="3" t="inlineStr">
        <is>
          <t>cash</t>
        </is>
      </c>
      <c r="I25" s="3" t="inlineStr">
        <is>
          <t>debt</t>
        </is>
      </c>
      <c r="J25" s="3" t="inlineStr">
        <is>
          <t>net_debt</t>
        </is>
      </c>
      <c r="K25" s="3" t="inlineStr">
        <is>
          <t>current_assets</t>
        </is>
      </c>
      <c r="L25" s="3" t="inlineStr">
        <is>
          <t>current_liabilities</t>
        </is>
      </c>
      <c r="M25" s="3" t="inlineStr">
        <is>
          <t>equity_ratio</t>
        </is>
      </c>
      <c r="N25" s="3" t="inlineStr">
        <is>
          <t>Note</t>
        </is>
      </c>
      <c r="O25" s="2" t="n"/>
      <c r="P25" s="2" t="n"/>
      <c r="Q25" s="2" t="n"/>
    </row>
    <row r="26">
      <c r="A26" s="2" t="n">
        <v>2021</v>
      </c>
      <c r="B26" s="2" t="inlineStr">
        <is>
          <t>FY2021 (ended Sep 2021)</t>
        </is>
      </c>
      <c r="C26" s="2" t="inlineStr">
        <is>
          <t>2021-09-30</t>
        </is>
      </c>
      <c r="D26" s="2" t="inlineStr">
        <is>
          <t>FY</t>
        </is>
      </c>
      <c r="E26" s="2" t="n"/>
      <c r="F26" s="2" t="n"/>
      <c r="G26" s="2" t="n"/>
      <c r="H26" s="2" t="n">
        <v>0</v>
      </c>
      <c r="I26" s="2" t="n">
        <v>0</v>
      </c>
      <c r="J26" s="2" t="n">
        <v>0</v>
      </c>
      <c r="K26" s="2" t="n"/>
      <c r="L26" s="2" t="n"/>
      <c r="M26" s="2" t="n"/>
      <c r="N26" s="2" t="inlineStr"/>
      <c r="O26" s="2" t="n"/>
      <c r="P26" s="2" t="n"/>
      <c r="Q26" s="2" t="n"/>
    </row>
    <row r="27">
      <c r="A27" s="2" t="n">
        <v>2022</v>
      </c>
      <c r="B27" s="2" t="inlineStr">
        <is>
          <t>FY2022 (ended Sep 2022)</t>
        </is>
      </c>
      <c r="C27" s="2" t="inlineStr">
        <is>
          <t>2022-09-30</t>
        </is>
      </c>
      <c r="D27" s="2" t="inlineStr">
        <is>
          <t>FY</t>
        </is>
      </c>
      <c r="E27" s="2" t="n">
        <v>352755</v>
      </c>
      <c r="F27" s="2" t="n">
        <v>302083</v>
      </c>
      <c r="G27" s="2" t="n">
        <v>50672</v>
      </c>
      <c r="H27" s="2" t="n">
        <v>23646</v>
      </c>
      <c r="I27" s="2" t="n">
        <v>132480</v>
      </c>
      <c r="J27" s="2" t="n">
        <v>108834</v>
      </c>
      <c r="K27" s="2" t="n">
        <v>135405</v>
      </c>
      <c r="L27" s="2" t="n">
        <v>153982</v>
      </c>
      <c r="M27" s="2" t="n">
        <v>14.36464401638531</v>
      </c>
      <c r="N27" s="2" t="inlineStr"/>
      <c r="O27" s="2" t="n"/>
      <c r="P27" s="2" t="n"/>
      <c r="Q27" s="2" t="n"/>
    </row>
    <row r="28">
      <c r="A28" s="2" t="n">
        <v>2023</v>
      </c>
      <c r="B28" s="2" t="inlineStr">
        <is>
          <t>FY2023 (ended Sep 2023)</t>
        </is>
      </c>
      <c r="C28" s="2" t="inlineStr">
        <is>
          <t>2023-09-30</t>
        </is>
      </c>
      <c r="D28" s="2" t="inlineStr">
        <is>
          <t>FY</t>
        </is>
      </c>
      <c r="E28" s="2" t="n">
        <v>352583</v>
      </c>
      <c r="F28" s="2" t="n">
        <v>290437</v>
      </c>
      <c r="G28" s="2" t="n">
        <v>62146</v>
      </c>
      <c r="H28" s="2" t="n">
        <v>29965</v>
      </c>
      <c r="I28" s="2" t="n">
        <v>111088</v>
      </c>
      <c r="J28" s="2" t="n">
        <v>81123</v>
      </c>
      <c r="K28" s="2" t="n">
        <v>143566</v>
      </c>
      <c r="L28" s="2" t="n">
        <v>145308</v>
      </c>
      <c r="M28" s="2" t="n">
        <v>17.62592070519565</v>
      </c>
      <c r="N28" s="2" t="inlineStr"/>
      <c r="O28" s="2" t="n"/>
      <c r="P28" s="2" t="n"/>
      <c r="Q28" s="2" t="n"/>
    </row>
    <row r="29">
      <c r="A29" s="2" t="n">
        <v>2024</v>
      </c>
      <c r="B29" s="2" t="inlineStr">
        <is>
          <t>FY2024 (ended Sep 2024)</t>
        </is>
      </c>
      <c r="C29" s="2" t="inlineStr">
        <is>
          <t>2024-09-30</t>
        </is>
      </c>
      <c r="D29" s="2" t="inlineStr">
        <is>
          <t>FY</t>
        </is>
      </c>
      <c r="E29" s="2" t="n">
        <v>364980</v>
      </c>
      <c r="F29" s="2" t="n">
        <v>308030</v>
      </c>
      <c r="G29" s="2" t="n">
        <v>56950</v>
      </c>
      <c r="H29" s="2" t="n">
        <v>29943</v>
      </c>
      <c r="I29" s="2" t="n">
        <v>106629</v>
      </c>
      <c r="J29" s="2" t="n">
        <v>76686</v>
      </c>
      <c r="K29" s="2" t="n">
        <v>152987</v>
      </c>
      <c r="L29" s="2" t="n">
        <v>176392</v>
      </c>
      <c r="M29" s="2" t="n">
        <v>15.60359471751877</v>
      </c>
      <c r="N29" s="2" t="inlineStr"/>
      <c r="O29" s="2" t="n"/>
      <c r="P29" s="2" t="n"/>
      <c r="Q29" s="2" t="n"/>
    </row>
    <row r="30">
      <c r="A30" s="2" t="n">
        <v>2025</v>
      </c>
      <c r="B30" s="2" t="inlineStr">
        <is>
          <t>FY2025 (ended Sep 2025)</t>
        </is>
      </c>
      <c r="C30" s="2" t="inlineStr">
        <is>
          <t>2025-09-30</t>
        </is>
      </c>
      <c r="D30" s="2" t="inlineStr">
        <is>
          <t>FY</t>
        </is>
      </c>
      <c r="E30" s="2" t="n">
        <v>359241</v>
      </c>
      <c r="F30" s="2" t="n">
        <v>285508</v>
      </c>
      <c r="G30" s="2" t="n">
        <v>73733</v>
      </c>
      <c r="H30" s="2" t="n">
        <v>35934</v>
      </c>
      <c r="I30" s="2" t="n">
        <v>98657</v>
      </c>
      <c r="J30" s="2" t="n">
        <v>62723</v>
      </c>
      <c r="K30" s="2" t="n">
        <v>147957</v>
      </c>
      <c r="L30" s="2" t="n">
        <v>165631</v>
      </c>
      <c r="M30" s="2" t="n">
        <v>20.52466171734295</v>
      </c>
      <c r="N30" s="2" t="inlineStr"/>
      <c r="O30" s="2" t="n"/>
      <c r="P30" s="2" t="n"/>
      <c r="Q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</row>
    <row r="33">
      <c r="A33" s="4" t="inlineStr">
        <is>
          <t>Cash Flow Metrics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</row>
    <row r="34">
      <c r="A34" s="3" t="inlineStr">
        <is>
          <t>year</t>
        </is>
      </c>
      <c r="B34" s="3" t="inlineStr">
        <is>
          <t>period</t>
        </is>
      </c>
      <c r="C34" s="3" t="inlineStr">
        <is>
          <t>period_end</t>
        </is>
      </c>
      <c r="D34" s="3" t="inlineStr">
        <is>
          <t>period_type</t>
        </is>
      </c>
      <c r="E34" s="3" t="inlineStr">
        <is>
          <t>operating_cash_flow</t>
        </is>
      </c>
      <c r="F34" s="3" t="inlineStr">
        <is>
          <t>capital_expenditure</t>
        </is>
      </c>
      <c r="G34" s="3" t="inlineStr">
        <is>
          <t>free_cash_flow</t>
        </is>
      </c>
      <c r="H34" s="3" t="inlineStr">
        <is>
          <t>Note</t>
        </is>
      </c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</row>
    <row r="35">
      <c r="A35" s="2" t="n">
        <v>2021</v>
      </c>
      <c r="B35" s="2" t="inlineStr">
        <is>
          <t>FY2021 (ended Sep 2021)</t>
        </is>
      </c>
      <c r="C35" s="2" t="inlineStr">
        <is>
          <t>2021-09-30</t>
        </is>
      </c>
      <c r="D35" s="2" t="inlineStr">
        <is>
          <t>FY</t>
        </is>
      </c>
      <c r="E35" s="2" t="n"/>
      <c r="F35" s="2" t="n"/>
      <c r="G35" s="2" t="n"/>
      <c r="H35" s="2" t="inlineStr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</row>
    <row r="36">
      <c r="A36" s="2" t="n">
        <v>2022</v>
      </c>
      <c r="B36" s="2" t="inlineStr">
        <is>
          <t>FY2022 (ended Sep 2022)</t>
        </is>
      </c>
      <c r="C36" s="2" t="inlineStr">
        <is>
          <t>2022-09-30</t>
        </is>
      </c>
      <c r="D36" s="2" t="inlineStr">
        <is>
          <t>FY</t>
        </is>
      </c>
      <c r="E36" s="2" t="n">
        <v>122151</v>
      </c>
      <c r="F36" s="2" t="n">
        <v>-10708</v>
      </c>
      <c r="G36" s="2" t="n">
        <v>111443</v>
      </c>
      <c r="H36" s="2" t="inlineStr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</row>
    <row r="37">
      <c r="A37" s="2" t="n">
        <v>2023</v>
      </c>
      <c r="B37" s="2" t="inlineStr">
        <is>
          <t>FY2023 (ended Sep 2023)</t>
        </is>
      </c>
      <c r="C37" s="2" t="inlineStr">
        <is>
          <t>2023-09-30</t>
        </is>
      </c>
      <c r="D37" s="2" t="inlineStr">
        <is>
          <t>FY</t>
        </is>
      </c>
      <c r="E37" s="2" t="n">
        <v>110543</v>
      </c>
      <c r="F37" s="2" t="n">
        <v>-10959</v>
      </c>
      <c r="G37" s="2" t="n">
        <v>99584</v>
      </c>
      <c r="H37" s="2" t="inlineStr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</row>
    <row r="38">
      <c r="A38" s="2" t="n">
        <v>2024</v>
      </c>
      <c r="B38" s="2" t="inlineStr">
        <is>
          <t>FY2024 (ended Sep 2024)</t>
        </is>
      </c>
      <c r="C38" s="2" t="inlineStr">
        <is>
          <t>2024-09-30</t>
        </is>
      </c>
      <c r="D38" s="2" t="inlineStr">
        <is>
          <t>FY</t>
        </is>
      </c>
      <c r="E38" s="2" t="n">
        <v>118254</v>
      </c>
      <c r="F38" s="2" t="n">
        <v>-9447</v>
      </c>
      <c r="G38" s="2" t="n">
        <v>108807</v>
      </c>
      <c r="H38" s="2" t="inlineStr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</row>
    <row r="39">
      <c r="A39" s="2" t="n">
        <v>2025</v>
      </c>
      <c r="B39" s="2" t="inlineStr">
        <is>
          <t>FY2025 (ended Sep 2025)</t>
        </is>
      </c>
      <c r="C39" s="2" t="inlineStr">
        <is>
          <t>2025-09-30</t>
        </is>
      </c>
      <c r="D39" s="2" t="inlineStr">
        <is>
          <t>FY</t>
        </is>
      </c>
      <c r="E39" s="2" t="n">
        <v>111482</v>
      </c>
      <c r="F39" s="2" t="n">
        <v>-12715</v>
      </c>
      <c r="G39" s="2" t="n">
        <v>98767</v>
      </c>
      <c r="H39" s="2" t="inlineStr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2026-05-07T07:32:02Z</dcterms:created>
  <dcterms:modified xsi:type="dcterms:W3CDTF">2026-05-07T07:32:03Z</dcterms:modified>
</cp:coreProperties>
</file>