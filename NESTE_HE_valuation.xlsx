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ta (Damodaran)" sheetId="2" state="visible" r:id="rId2"/>
    <sheet name="CAPM" sheetId="3" state="visible" r:id="rId3"/>
    <sheet name="WACC" sheetId="4" state="visible" r:id="rId4"/>
    <sheet name="DCF" sheetId="5" state="visible" r:id="rId5"/>
    <sheet name="Validation" sheetId="6" state="visible" r:id="rId6"/>
    <sheet name="Raw Data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#,##0.00 &quot;EUR&quot;"/>
    <numFmt numFmtId="166" formatCode="#,##0.0 &quot;M EUR&quot;"/>
    <numFmt numFmtId="167" formatCode="#,##0.00 &quot;M&quot;"/>
    <numFmt numFmtId="168" formatCode="+0.0&quot; pp&quot;;[Red]-0.0&quot; pp&quot;;0.0&quot; pp&quot;"/>
    <numFmt numFmtId="169" formatCode="+0.00%&quot;pp&quot;;[Red]-0.00%&quot;pp&quot;;0.00&quot;pp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9C6500"/>
    </font>
    <font>
      <b val="1"/>
      <color rgb="00006100"/>
    </font>
    <font>
      <name val="Calibri"/>
      <family val="2"/>
      <color theme="10"/>
      <sz val="12"/>
      <scheme val="minor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DDEFD8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6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164" fontId="0" fillId="7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10" fontId="0" fillId="8" borderId="1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Structure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'WACC'!$A$3:$A$4</f>
            </numRef>
          </cat>
          <val>
            <numRef>
              <f>'WACC'!$B$3:$B$4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Financial Analyzer</author>
  </authors>
  <commentList>
    <comment ref="B11" authorId="0" shapeId="0">
      <text>
        <t>Damodaran industry beta is often more stable than a single-stock regression beta because it averages operating risk across comparable companies.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8382000" cy="487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eta (Damodaran)'!A1" TargetMode="External" Id="rId1" /><Relationship Type="http://schemas.openxmlformats.org/officeDocument/2006/relationships/hyperlink" Target="#'CAPM'!A1" TargetMode="External" Id="rId2" /><Relationship Type="http://schemas.openxmlformats.org/officeDocument/2006/relationships/hyperlink" Target="#'WACC'!A1" TargetMode="External" Id="rId3" /><Relationship Type="http://schemas.openxmlformats.org/officeDocument/2006/relationships/hyperlink" Target="#'DCF'!A1" TargetMode="External" Id="rId4" /><Relationship Type="http://schemas.openxmlformats.org/officeDocument/2006/relationships/hyperlink" Target="#'Validation'!A1" TargetMode="External" Id="rId5" /><Relationship Type="http://schemas.openxmlformats.org/officeDocument/2006/relationships/hyperlink" Target="#'Raw Data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21" customWidth="1" min="3" max="3"/>
    <col width="42" customWidth="1" min="4" max="4"/>
    <col width="10" customWidth="1" min="5" max="5"/>
    <col width="10" customWidth="1" min="6" max="6"/>
  </cols>
  <sheetData>
    <row r="1">
      <c r="A1" s="1" t="inlineStr">
        <is>
          <t>Valuation Summary</t>
        </is>
      </c>
      <c r="B1" s="2" t="n"/>
      <c r="C1" s="2" t="n"/>
      <c r="D1" s="2" t="n"/>
      <c r="E1" s="2" t="n"/>
      <c r="F1" s="2" t="n"/>
    </row>
    <row r="2">
      <c r="A2" s="3" t="inlineStr">
        <is>
          <t>Field</t>
        </is>
      </c>
      <c r="B2" s="3" t="inlineStr">
        <is>
          <t>Value</t>
        </is>
      </c>
      <c r="C2" s="2" t="n"/>
      <c r="D2" s="2" t="n"/>
      <c r="E2" s="2" t="n"/>
      <c r="F2" s="2" t="n"/>
    </row>
    <row r="3">
      <c r="A3" s="2" t="inlineStr">
        <is>
          <t>Company</t>
        </is>
      </c>
      <c r="B3" s="2" t="inlineStr">
        <is>
          <t>Neste Oyj</t>
        </is>
      </c>
      <c r="C3" s="2" t="n"/>
      <c r="D3" s="4" t="inlineStr">
        <is>
          <t>Beta source</t>
        </is>
      </c>
      <c r="E3" s="2" t="n"/>
      <c r="F3" s="2" t="n"/>
    </row>
    <row r="4">
      <c r="A4" s="2" t="inlineStr">
        <is>
          <t>Ticker</t>
        </is>
      </c>
      <c r="B4" s="2" t="inlineStr">
        <is>
          <t>NESTE.HE</t>
        </is>
      </c>
      <c r="C4" s="2" t="n"/>
      <c r="D4" s="2" t="inlineStr">
        <is>
          <t>Damodaran industry: Metals &amp; Mining</t>
        </is>
      </c>
      <c r="E4" s="2" t="n"/>
      <c r="F4" s="2" t="n"/>
    </row>
    <row r="5">
      <c r="A5" s="2" t="inlineStr">
        <is>
          <t>Industry</t>
        </is>
      </c>
      <c r="B5" s="2" t="inlineStr">
        <is>
          <t>Oil &amp; Gas Refining &amp; Marketing</t>
        </is>
      </c>
      <c r="C5" s="2" t="n"/>
      <c r="D5" s="2" t="inlineStr">
        <is>
          <t>Match confidence: 55.8%</t>
        </is>
      </c>
      <c r="E5" s="2" t="n"/>
      <c r="F5" s="2" t="n"/>
    </row>
    <row r="6">
      <c r="A6" s="2" t="inlineStr">
        <is>
          <t>Date</t>
        </is>
      </c>
      <c r="B6" s="2" t="inlineStr">
        <is>
          <t>07.05.2026 23:38</t>
        </is>
      </c>
      <c r="C6" s="2" t="n"/>
      <c r="D6" s="2" t="inlineStr">
        <is>
          <t>Updated: January 2026</t>
        </is>
      </c>
      <c r="E6" s="2" t="n"/>
      <c r="F6" s="2" t="n"/>
    </row>
    <row r="7">
      <c r="A7" s="2" t="inlineStr">
        <is>
          <t>Reported currency</t>
        </is>
      </c>
      <c r="B7" s="2" t="inlineStr">
        <is>
          <t>EUR</t>
        </is>
      </c>
      <c r="C7" s="2" t="n"/>
      <c r="D7" s="2" t="n"/>
      <c r="E7" s="2" t="n"/>
      <c r="F7" s="2" t="n"/>
    </row>
    <row r="8">
      <c r="A8" s="2" t="inlineStr">
        <is>
          <t>Beta</t>
        </is>
      </c>
      <c r="B8" s="5" t="n">
        <v>1.130453005398469</v>
      </c>
      <c r="C8" s="2" t="n"/>
      <c r="D8" s="2" t="n"/>
      <c r="E8" s="2" t="n"/>
      <c r="F8" s="2" t="n"/>
    </row>
    <row r="9">
      <c r="A9" s="2" t="inlineStr">
        <is>
          <t>Cost of Equity</t>
        </is>
      </c>
      <c r="B9" s="6" t="n">
        <v>0.1060949125121868</v>
      </c>
      <c r="C9" s="2" t="n"/>
      <c r="D9" s="2" t="n"/>
      <c r="E9" s="2" t="n"/>
      <c r="F9" s="2" t="n"/>
    </row>
    <row r="10">
      <c r="A10" s="2" t="inlineStr">
        <is>
          <t>Cost of Debt</t>
        </is>
      </c>
      <c r="B10" s="6" t="n">
        <v>0.02912808641975309</v>
      </c>
      <c r="C10" s="2" t="n"/>
      <c r="D10" s="2" t="n"/>
      <c r="E10" s="2" t="n"/>
      <c r="F10" s="2" t="n"/>
    </row>
    <row r="11">
      <c r="A11" s="2" t="inlineStr">
        <is>
          <t>Cost of Debt Estimated</t>
        </is>
      </c>
      <c r="B11" s="2" t="inlineStr">
        <is>
          <t>NO</t>
        </is>
      </c>
      <c r="C11" s="2" t="n"/>
      <c r="D11" s="2" t="n"/>
      <c r="E11" s="2" t="n"/>
      <c r="F11" s="2" t="n"/>
    </row>
    <row r="12">
      <c r="A12" s="2" t="inlineStr">
        <is>
          <t>WACC</t>
        </is>
      </c>
      <c r="B12" s="7" t="n">
        <v>0.08924128472718237</v>
      </c>
      <c r="C12" s="2" t="n"/>
      <c r="D12" s="2" t="n"/>
      <c r="E12" s="2" t="n"/>
      <c r="F12" s="2" t="n"/>
    </row>
    <row r="13">
      <c r="A13" s="2" t="inlineStr">
        <is>
          <t>Selected estimate</t>
        </is>
      </c>
      <c r="B13" s="8" t="n">
        <v>19.13030768906579</v>
      </c>
      <c r="C13" s="2" t="n"/>
      <c r="D13" s="2" t="n"/>
      <c r="E13" s="2" t="n"/>
      <c r="F13" s="2" t="n"/>
    </row>
    <row r="14">
      <c r="A14" s="2" t="inlineStr">
        <is>
          <t>Selected valuation tier</t>
        </is>
      </c>
      <c r="B14" s="2" t="inlineStr">
        <is>
          <t>Tier 4 - multiples valuation</t>
        </is>
      </c>
      <c r="C14" s="2" t="n"/>
      <c r="D14" s="2" t="n"/>
      <c r="E14" s="2" t="n"/>
      <c r="F14" s="2" t="n"/>
    </row>
    <row r="15">
      <c r="A15" s="2" t="inlineStr">
        <is>
          <t>Current Market Price</t>
        </is>
      </c>
      <c r="B15" s="9" t="n">
        <v>27.29</v>
      </c>
      <c r="C15" s="2" t="n"/>
      <c r="D15" s="2" t="n"/>
      <c r="E15" s="2" t="n"/>
      <c r="F15" s="2" t="n"/>
    </row>
    <row r="16">
      <c r="A16" s="2" t="inlineStr">
        <is>
          <t>Upside / Downside</t>
        </is>
      </c>
      <c r="B16" s="6" t="n">
        <v>-0.2989993518114402</v>
      </c>
      <c r="C16" s="2" t="n"/>
      <c r="D16" s="2" t="n"/>
      <c r="E16" s="2" t="n"/>
      <c r="F16" s="2" t="n"/>
    </row>
    <row r="17">
      <c r="A17" s="2" t="inlineStr">
        <is>
          <t>Confidence</t>
        </is>
      </c>
      <c r="B17" s="2" t="inlineStr">
        <is>
          <t>LOW - multiples-based valuation; DCF model not applicable</t>
        </is>
      </c>
      <c r="C17" s="2" t="n"/>
      <c r="D17" s="2" t="n"/>
      <c r="E17" s="2" t="n"/>
      <c r="F17" s="2" t="n"/>
    </row>
    <row r="18">
      <c r="A18" s="2" t="inlineStr">
        <is>
          <t>Reason</t>
        </is>
      </c>
      <c r="B18" s="2" t="inlineStr">
        <is>
          <t>DCF model was not applicable; selected estimate uses the median of sector EV/EBITDA, EV/Sales, and P/Book valuation outputs.</t>
        </is>
      </c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4" t="inlineStr">
        <is>
          <t>Implied Share Price Analysis</t>
        </is>
      </c>
      <c r="B21" s="2" t="n"/>
      <c r="C21" s="2" t="n"/>
      <c r="D21" s="2" t="n"/>
      <c r="E21" s="2" t="n"/>
      <c r="F21" s="2" t="n"/>
    </row>
    <row r="22">
      <c r="A22" s="3" t="inlineStr">
        <is>
          <t>Method</t>
        </is>
      </c>
      <c r="B22" s="3" t="inlineStr">
        <is>
          <t>Implied share price</t>
        </is>
      </c>
      <c r="C22" s="3" t="inlineStr">
        <is>
          <t>Upside / downside</t>
        </is>
      </c>
      <c r="D22" s="3" t="inlineStr">
        <is>
          <t>Status</t>
        </is>
      </c>
      <c r="E22" s="2" t="n"/>
      <c r="F22" s="2" t="n"/>
    </row>
    <row r="23">
      <c r="A23" s="2" t="inlineStr">
        <is>
          <t>Tier 1 - Standard DCF</t>
        </is>
      </c>
      <c r="B23" s="9" t="n">
        <v>-2.713574216485772</v>
      </c>
      <c r="C23" s="6" t="n">
        <v>-1.099434745932055</v>
      </c>
      <c r="D23" s="10" t="inlineStr">
        <is>
          <t>REJECTED - negative or zero implied price</t>
        </is>
      </c>
      <c r="E23" s="2" t="n"/>
      <c r="F23" s="2" t="n"/>
    </row>
    <row r="24">
      <c r="A24" s="2" t="inlineStr">
        <is>
          <t>Tier 2 - Smoothed DCF</t>
        </is>
      </c>
      <c r="B24" s="9" t="n">
        <v>-5.221628703647402</v>
      </c>
      <c r="C24" s="6" t="n">
        <v>-1.191338538059634</v>
      </c>
      <c r="D24" s="10" t="inlineStr">
        <is>
          <t>REJECTED - negative or zero implied price</t>
        </is>
      </c>
      <c r="E24" s="2" t="n"/>
      <c r="F24" s="2" t="n"/>
    </row>
    <row r="25">
      <c r="A25" s="2" t="inlineStr">
        <is>
          <t>Tier 3 - Sector Benchmark DCF</t>
        </is>
      </c>
      <c r="B25" s="9" t="n">
        <v>-5.057064243166033</v>
      </c>
      <c r="C25" s="6" t="n">
        <v>-1.18530832697567</v>
      </c>
      <c r="D25" s="10" t="inlineStr">
        <is>
          <t>REJECTED - negative or zero implied price</t>
        </is>
      </c>
      <c r="E25" s="2" t="n"/>
      <c r="F25" s="2" t="n"/>
    </row>
    <row r="26">
      <c r="A26" s="2" t="inlineStr">
        <is>
          <t>Tier 4 - Multiples-Based Valuation</t>
        </is>
      </c>
      <c r="B26" s="8" t="n">
        <v>19.13030768906579</v>
      </c>
      <c r="C26" s="6" t="n">
        <v>-0.2989993518114402</v>
      </c>
      <c r="D26" s="11" t="inlineStr">
        <is>
          <t>Used as primary result - Multiples valuation selected because Tier 1 rejected (negative or zero implied price); Tier 2 rejected (negative or zero implied price); Tier 3 rejected (negative or zero implied price).</t>
        </is>
      </c>
      <c r="E26" s="2" t="n"/>
      <c r="F26" s="2" t="n"/>
    </row>
    <row r="27">
      <c r="A27" s="2" t="inlineStr">
        <is>
          <t>Tier 5 - Tangible Book Value Floor</t>
        </is>
      </c>
      <c r="B27" s="9" t="n">
        <v>9.519933705753644</v>
      </c>
      <c r="C27" s="6" t="n">
        <v>-0.6511566982134978</v>
      </c>
      <c r="D27" s="2" t="inlineStr">
        <is>
          <t>REFERENCE - no reason provided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4" t="inlineStr">
        <is>
          <t>Workbook navigation</t>
        </is>
      </c>
      <c r="B30" s="2" t="n"/>
      <c r="C30" s="2" t="n"/>
      <c r="D30" s="2" t="n"/>
      <c r="E30" s="2" t="n"/>
      <c r="F30" s="2" t="n"/>
    </row>
    <row r="31">
      <c r="A31" s="12" t="inlineStr">
        <is>
          <t>Beta (Damodaran)</t>
        </is>
      </c>
      <c r="B31" s="2" t="n"/>
      <c r="C31" s="2" t="n"/>
      <c r="D31" s="2" t="n"/>
      <c r="E31" s="2" t="n"/>
      <c r="F31" s="2" t="n"/>
    </row>
    <row r="32">
      <c r="A32" s="12" t="inlineStr">
        <is>
          <t>CAPM</t>
        </is>
      </c>
      <c r="B32" s="2" t="n"/>
      <c r="C32" s="2" t="n"/>
      <c r="D32" s="2" t="n"/>
      <c r="E32" s="2" t="n"/>
      <c r="F32" s="2" t="n"/>
    </row>
    <row r="33">
      <c r="A33" s="12" t="inlineStr">
        <is>
          <t>WACC</t>
        </is>
      </c>
      <c r="B33" s="2" t="n"/>
      <c r="C33" s="2" t="n"/>
      <c r="D33" s="2" t="n"/>
      <c r="E33" s="2" t="n"/>
      <c r="F33" s="2" t="n"/>
    </row>
    <row r="34">
      <c r="A34" s="12" t="inlineStr">
        <is>
          <t>DCF</t>
        </is>
      </c>
      <c r="B34" s="2" t="n"/>
      <c r="C34" s="2" t="n"/>
      <c r="D34" s="2" t="n"/>
      <c r="E34" s="2" t="n"/>
      <c r="F34" s="2" t="n"/>
    </row>
    <row r="35">
      <c r="A35" s="12" t="inlineStr">
        <is>
          <t>Validation</t>
        </is>
      </c>
      <c r="B35" s="2" t="n"/>
      <c r="C35" s="2" t="n"/>
      <c r="D35" s="2" t="n"/>
      <c r="E35" s="2" t="n"/>
      <c r="F35" s="2" t="n"/>
    </row>
    <row r="36">
      <c r="A36" s="12" t="inlineStr">
        <is>
          <t>Raw Data</t>
        </is>
      </c>
      <c r="B36" s="2" t="n"/>
      <c r="C36" s="2" t="n"/>
      <c r="D36" s="2" t="n"/>
      <c r="E36" s="2" t="n"/>
      <c r="F36" s="2" t="n"/>
    </row>
  </sheetData>
  <mergeCells count="1">
    <mergeCell ref="A1:F1"/>
  </mergeCells>
  <hyperlinks>
    <hyperlink xmlns:r="http://schemas.openxmlformats.org/officeDocument/2006/relationships" ref="A31" r:id="rId1"/>
    <hyperlink xmlns:r="http://schemas.openxmlformats.org/officeDocument/2006/relationships" ref="A32" r:id="rId2"/>
    <hyperlink xmlns:r="http://schemas.openxmlformats.org/officeDocument/2006/relationships" ref="A33" r:id="rId3"/>
    <hyperlink xmlns:r="http://schemas.openxmlformats.org/officeDocument/2006/relationships" ref="A34" r:id="rId4"/>
    <hyperlink xmlns:r="http://schemas.openxmlformats.org/officeDocument/2006/relationships" ref="A35" r:id="rId5"/>
    <hyperlink xmlns:r="http://schemas.openxmlformats.org/officeDocument/2006/relationships" ref="A36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Beta (Damodaran)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Source: Aswath Damodaran, NYU Stern - https://pages.stern.nyu.edu/~adamodar/pc/datasets/betaEurope.xls - Updated January 2026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Company industry (yfinance)</t>
        </is>
      </c>
      <c r="B5" s="2" t="inlineStr">
        <is>
          <t>Oil &amp; Gas Refining &amp; Marketing</t>
        </is>
      </c>
      <c r="C5" s="2" t="n"/>
      <c r="D5" s="2" t="n"/>
      <c r="E5" s="2" t="n"/>
      <c r="F5" s="2" t="n"/>
    </row>
    <row r="6">
      <c r="A6" s="2" t="inlineStr">
        <is>
          <t>Matched Damodaran industry</t>
        </is>
      </c>
      <c r="B6" s="2" t="inlineStr">
        <is>
          <t>Metals &amp; Mining</t>
        </is>
      </c>
      <c r="C6" s="2" t="n"/>
      <c r="D6" s="2" t="n"/>
      <c r="E6" s="2" t="n"/>
      <c r="F6" s="2" t="n"/>
    </row>
    <row r="7">
      <c r="A7" s="2" t="inlineStr">
        <is>
          <t>Match confidence</t>
        </is>
      </c>
      <c r="B7" s="6" t="n">
        <v>0.5581395348837209</v>
      </c>
      <c r="C7" s="2" t="n"/>
      <c r="D7" s="2" t="n"/>
      <c r="E7" s="2" t="n"/>
      <c r="F7" s="2" t="n"/>
    </row>
    <row r="8">
      <c r="A8" s="2" t="inlineStr">
        <is>
          <t>Unlevered Beta</t>
        </is>
      </c>
      <c r="B8" s="5" t="n">
        <v>0.9588916873764738</v>
      </c>
      <c r="C8" s="2" t="n"/>
      <c r="D8" s="2" t="n"/>
      <c r="E8" s="2" t="n"/>
      <c r="F8" s="2" t="n"/>
    </row>
    <row r="9">
      <c r="A9" s="2" t="inlineStr">
        <is>
          <t>Company D/E ratio</t>
        </is>
      </c>
      <c r="B9" s="6" t="n">
        <v>0.2472523366749965</v>
      </c>
      <c r="C9" s="2" t="n"/>
      <c r="D9" s="2" t="n"/>
      <c r="E9" s="2" t="n"/>
      <c r="F9" s="2" t="n"/>
    </row>
    <row r="10">
      <c r="A10" s="2" t="inlineStr">
        <is>
          <t>Tax rate</t>
        </is>
      </c>
      <c r="B10" s="6" t="n">
        <v>0.2763819095477387</v>
      </c>
      <c r="C10" s="2" t="inlineStr">
        <is>
          <t>Company effective tax rate used in relevering. Alternative methodology would use marginal tax rate (Damodaran's recommendation); results may differ for firms with significant tax shields.</t>
        </is>
      </c>
      <c r="D10" s="2" t="n"/>
      <c r="E10" s="2" t="n"/>
      <c r="F10" s="2" t="n"/>
    </row>
    <row r="11">
      <c r="A11" s="2" t="inlineStr">
        <is>
          <t>Levered Beta</t>
        </is>
      </c>
      <c r="B11" s="13">
        <f>B8*(1+(1-B10)*B9)</f>
        <v/>
      </c>
      <c r="C11" s="2" t="n"/>
      <c r="D11" s="2" t="n"/>
      <c r="E11" s="2" t="n"/>
      <c r="F11" s="2" t="n"/>
    </row>
    <row r="12">
      <c r="A12" s="2" t="inlineStr">
        <is>
          <t>yfinance beta (reference only)</t>
        </is>
      </c>
      <c r="B12" s="2" t="n">
        <v>0.594</v>
      </c>
      <c r="C12" s="2" t="n"/>
      <c r="D12" s="2" t="n"/>
      <c r="E12" s="2" t="n"/>
      <c r="F12" s="2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CAPM</t>
        </is>
      </c>
      <c r="B1" s="2" t="n"/>
      <c r="C1" s="2" t="n"/>
      <c r="D1" s="2" t="n"/>
      <c r="E1" s="2" t="n"/>
      <c r="F1" s="2" t="n"/>
    </row>
    <row r="2">
      <c r="A2" s="3" t="inlineStr">
        <is>
          <t>Input</t>
        </is>
      </c>
      <c r="B2" s="3" t="inlineStr">
        <is>
          <t>Value</t>
        </is>
      </c>
      <c r="C2" s="3" t="inlineStr">
        <is>
          <t>Explanation</t>
        </is>
      </c>
      <c r="D2" s="2" t="n"/>
      <c r="E2" s="2" t="n"/>
      <c r="F2" s="2" t="n"/>
    </row>
    <row r="3">
      <c r="A3" s="2" t="inlineStr">
        <is>
          <t>Risk-free rate</t>
        </is>
      </c>
      <c r="B3" s="6" t="n">
        <v>0.043919997215271</v>
      </c>
      <c r="C3" s="2" t="inlineStr">
        <is>
          <t>^TNX as of 2026-05-07</t>
        </is>
      </c>
      <c r="D3" s="2" t="n"/>
      <c r="E3" s="2" t="n"/>
      <c r="F3" s="2" t="n"/>
    </row>
    <row r="4">
      <c r="A4" s="2" t="inlineStr">
        <is>
          <t>Levered Beta</t>
        </is>
      </c>
      <c r="B4" s="5">
        <f>'Beta (Damodaran)'!B11</f>
        <v/>
      </c>
      <c r="C4" s="2" t="inlineStr">
        <is>
          <t>Damodaran industry beta re-levered to company D/E</t>
        </is>
      </c>
      <c r="D4" s="2" t="n"/>
      <c r="E4" s="2" t="n"/>
      <c r="F4" s="2" t="n"/>
    </row>
    <row r="5">
      <c r="A5" s="2" t="inlineStr">
        <is>
          <t>Market Risk Premium</t>
        </is>
      </c>
      <c r="B5" s="6" t="n">
        <v>0.055</v>
      </c>
      <c r="C5" s="2" t="inlineStr">
        <is>
          <t>Damodaran recommendation: 5.5%</t>
        </is>
      </c>
      <c r="D5" s="2" t="n"/>
      <c r="E5" s="2" t="n"/>
      <c r="F5" s="2" t="n"/>
    </row>
    <row r="6">
      <c r="A6" s="2" t="inlineStr">
        <is>
          <t>Cost of Equity</t>
        </is>
      </c>
      <c r="B6" s="7">
        <f>B3+B4*B5</f>
        <v/>
      </c>
      <c r="C6" s="2" t="inlineStr">
        <is>
          <t>CAPM formula</t>
        </is>
      </c>
      <c r="D6" s="2" t="n"/>
      <c r="E6" s="2" t="n"/>
      <c r="F6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WACC</t>
        </is>
      </c>
      <c r="B1" s="2" t="n"/>
      <c r="C1" s="2" t="n"/>
      <c r="D1" s="2" t="n"/>
      <c r="E1" s="2" t="n"/>
      <c r="F1" s="2" t="n"/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Explanation</t>
        </is>
      </c>
      <c r="D2" s="2" t="n"/>
      <c r="E2" s="2" t="n"/>
      <c r="F2" s="2" t="n"/>
    </row>
    <row r="3">
      <c r="A3" s="2" t="inlineStr">
        <is>
          <t>Market cap (E)</t>
        </is>
      </c>
      <c r="B3" s="14" t="n">
        <v>20966.434816</v>
      </c>
      <c r="C3" s="2" t="inlineStr"/>
      <c r="D3" s="2" t="n"/>
      <c r="E3" s="2" t="n"/>
      <c r="F3" s="2" t="n"/>
    </row>
    <row r="4">
      <c r="A4" s="2" t="inlineStr">
        <is>
          <t>Total debt (book value)</t>
        </is>
      </c>
      <c r="B4" s="14" t="n">
        <v>5184</v>
      </c>
      <c r="C4" s="2" t="inlineStr">
        <is>
          <t>Book value used as proxy for market value of debt. Standard simplification when debt is short-term or trades close to par.</t>
        </is>
      </c>
      <c r="D4" s="2" t="n"/>
      <c r="E4" s="2" t="n"/>
      <c r="F4" s="2" t="n"/>
    </row>
    <row r="5">
      <c r="A5" s="2" t="inlineStr">
        <is>
          <t>V = E + D</t>
        </is>
      </c>
      <c r="B5" s="15">
        <f>B3+B4</f>
        <v/>
      </c>
      <c r="C5" s="2" t="inlineStr"/>
      <c r="D5" s="2" t="n"/>
      <c r="E5" s="2" t="n"/>
      <c r="F5" s="2" t="n"/>
    </row>
    <row r="6">
      <c r="A6" s="2" t="inlineStr">
        <is>
          <t>Equity weight = E/V</t>
        </is>
      </c>
      <c r="B6" s="16">
        <f>B3/B5</f>
        <v/>
      </c>
      <c r="C6" s="2" t="inlineStr"/>
      <c r="D6" s="2" t="n"/>
      <c r="E6" s="2" t="n"/>
      <c r="F6" s="2" t="n"/>
    </row>
    <row r="7">
      <c r="A7" s="2" t="inlineStr">
        <is>
          <t>Debt weight = D/V</t>
        </is>
      </c>
      <c r="B7" s="16">
        <f>B4/B5</f>
        <v/>
      </c>
      <c r="C7" s="2" t="inlineStr"/>
      <c r="D7" s="2" t="n"/>
      <c r="E7" s="2" t="n"/>
      <c r="F7" s="2" t="n"/>
    </row>
    <row r="8">
      <c r="A8" s="2" t="inlineStr">
        <is>
          <t>Cost of equity (Re)</t>
        </is>
      </c>
      <c r="B8" s="6">
        <f>'CAPM'!B6</f>
        <v/>
      </c>
      <c r="C8" s="2" t="inlineStr"/>
      <c r="D8" s="2" t="n"/>
      <c r="E8" s="2" t="n"/>
      <c r="F8" s="2" t="n"/>
    </row>
    <row r="9">
      <c r="A9" s="2" t="inlineStr">
        <is>
          <t>Cost of debt (Rd)</t>
        </is>
      </c>
      <c r="B9" s="16" t="n">
        <v>0.02912808641975309</v>
      </c>
      <c r="C9" s="2" t="inlineStr"/>
      <c r="D9" s="2" t="n"/>
      <c r="E9" s="2" t="n"/>
      <c r="F9" s="2" t="n"/>
    </row>
    <row r="10">
      <c r="A10" s="2" t="inlineStr">
        <is>
          <t>Tax rate (T)</t>
        </is>
      </c>
      <c r="B10" s="6" t="n">
        <v>0.2763819095477387</v>
      </c>
      <c r="C10" s="2" t="inlineStr"/>
      <c r="D10" s="2" t="n"/>
      <c r="E10" s="2" t="n"/>
      <c r="F10" s="2" t="n"/>
    </row>
    <row r="11">
      <c r="A11" s="2" t="inlineStr">
        <is>
          <t>After-tax cost of debt</t>
        </is>
      </c>
      <c r="B11" s="6">
        <f>B9*(1-B10)</f>
        <v/>
      </c>
      <c r="C11" s="2" t="inlineStr"/>
      <c r="D11" s="2" t="n"/>
      <c r="E11" s="2" t="n"/>
      <c r="F11" s="2" t="n"/>
    </row>
    <row r="12">
      <c r="A12" s="2" t="inlineStr">
        <is>
          <t>WACC</t>
        </is>
      </c>
      <c r="B12" s="7">
        <f>(B6*B8)+(B7*B9*(1-B10))</f>
        <v/>
      </c>
      <c r="C12" s="2" t="inlineStr"/>
      <c r="D12" s="2" t="n"/>
      <c r="E12" s="2" t="n"/>
      <c r="F12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21" customWidth="1" min="5" max="5"/>
    <col width="10" customWidth="1" min="6" max="6"/>
  </cols>
  <sheetData>
    <row r="1">
      <c r="A1" s="1" t="inlineStr">
        <is>
          <t>DCF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Historical Data</t>
        </is>
      </c>
      <c r="B3" s="2" t="n"/>
      <c r="C3" s="2" t="n"/>
      <c r="D3" s="2" t="n"/>
      <c r="E3" s="2" t="n"/>
      <c r="F3" s="2" t="n"/>
    </row>
    <row r="4">
      <c r="A4" s="3" t="inlineStr">
        <is>
          <t>Period</t>
        </is>
      </c>
      <c r="B4" s="3" t="inlineStr">
        <is>
          <t>Revenue</t>
        </is>
      </c>
      <c r="C4" s="3" t="inlineStr">
        <is>
          <t>EBIT</t>
        </is>
      </c>
      <c r="D4" s="3" t="inlineStr">
        <is>
          <t>FCF</t>
        </is>
      </c>
      <c r="E4" s="2" t="n"/>
      <c r="F4" s="2" t="n"/>
    </row>
    <row r="5">
      <c r="A5" s="2" t="inlineStr">
        <is>
          <t>FY2022 (ended Dec 2022)</t>
        </is>
      </c>
      <c r="B5" s="14" t="n">
        <v>25707</v>
      </c>
      <c r="C5" s="14" t="n">
        <v>2332</v>
      </c>
      <c r="D5" s="14" t="n">
        <v>-546</v>
      </c>
      <c r="E5" s="2" t="n"/>
      <c r="F5" s="2" t="n"/>
    </row>
    <row r="6">
      <c r="A6" s="2" t="inlineStr">
        <is>
          <t>FY2023 (ended Dec 2023)</t>
        </is>
      </c>
      <c r="B6" s="14" t="n">
        <v>22927</v>
      </c>
      <c r="C6" s="14" t="n">
        <v>1714</v>
      </c>
      <c r="D6" s="14" t="n">
        <v>849</v>
      </c>
      <c r="E6" s="2" t="n"/>
      <c r="F6" s="2" t="n"/>
    </row>
    <row r="7">
      <c r="A7" s="2" t="inlineStr">
        <is>
          <t>FY2024 (ended Dec 2024)</t>
        </is>
      </c>
      <c r="B7" s="14" t="n">
        <v>20635</v>
      </c>
      <c r="C7" s="14" t="n">
        <v>34</v>
      </c>
      <c r="D7" s="14" t="n">
        <v>-398</v>
      </c>
      <c r="E7" s="2" t="n"/>
      <c r="F7" s="2" t="n"/>
    </row>
    <row r="8">
      <c r="A8" s="2" t="inlineStr">
        <is>
          <t>FY2025 (ended Dec 2025)</t>
        </is>
      </c>
      <c r="B8" s="14" t="n">
        <v>19016</v>
      </c>
      <c r="C8" s="14" t="n">
        <v>350</v>
      </c>
      <c r="D8" s="14" t="n">
        <v>825</v>
      </c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Tier 1 Assumptions - Standard DCF</t>
        </is>
      </c>
      <c r="B11" s="2" t="n"/>
      <c r="C11" s="2" t="n"/>
      <c r="D11" s="2" t="n"/>
      <c r="E11" s="2" t="n"/>
      <c r="F11" s="2" t="n"/>
    </row>
    <row r="12">
      <c r="A12" s="3" t="inlineStr">
        <is>
          <t>Assumption</t>
        </is>
      </c>
      <c r="B12" s="3" t="inlineStr">
        <is>
          <t>Value</t>
        </is>
      </c>
      <c r="C12" s="3" t="inlineStr">
        <is>
          <t>Source</t>
        </is>
      </c>
      <c r="D12" s="2" t="n"/>
      <c r="E12" s="2" t="n"/>
      <c r="F12" s="2" t="n"/>
    </row>
    <row r="13">
      <c r="A13" s="2" t="inlineStr">
        <is>
          <t>Revenue growth % per year</t>
        </is>
      </c>
      <c r="B13" s="17" t="n">
        <v>-0.09560964162503338</v>
      </c>
      <c r="C13" s="2" t="inlineStr">
        <is>
          <t>3-year CAGR (FY2022-FY2025, 3 growth periods)</t>
        </is>
      </c>
      <c r="D13" s="2" t="n"/>
      <c r="E13" s="2" t="n"/>
      <c r="F13" s="2" t="n"/>
    </row>
    <row r="14">
      <c r="A14" s="2" t="inlineStr">
        <is>
          <t>EBIT margin %</t>
        </is>
      </c>
      <c r="B14" s="17" t="n">
        <v>0.01840555321834245</v>
      </c>
      <c r="C14" s="2" t="inlineStr">
        <is>
          <t>latest FY actual</t>
        </is>
      </c>
      <c r="D14" s="2" t="n"/>
      <c r="E14" s="2" t="n"/>
      <c r="F14" s="2" t="n"/>
    </row>
    <row r="15">
      <c r="A15" s="2" t="inlineStr">
        <is>
          <t>Tax rate</t>
        </is>
      </c>
      <c r="B15" s="17" t="n">
        <v>0.2763819095477387</v>
      </c>
      <c r="C15" s="2" t="inlineStr">
        <is>
          <t>Company effective tax rate</t>
        </is>
      </c>
      <c r="D15" s="2" t="n"/>
      <c r="E15" s="2" t="n"/>
      <c r="F15" s="2" t="n"/>
    </row>
    <row r="16">
      <c r="A16" s="2" t="inlineStr">
        <is>
          <t>D&amp;A % revenue</t>
        </is>
      </c>
      <c r="B16" s="17" t="n">
        <v>0.04479357254001611</v>
      </c>
      <c r="C16" s="2" t="inlineStr">
        <is>
          <t>recent historical average</t>
        </is>
      </c>
      <c r="D16" s="2" t="n"/>
      <c r="E16" s="2" t="n"/>
      <c r="F16" s="2" t="n"/>
    </row>
    <row r="17">
      <c r="A17" s="2" t="inlineStr">
        <is>
          <t>CapEx % revenue</t>
        </is>
      </c>
      <c r="B17" s="17" t="n">
        <v>0.06202312675867799</v>
      </c>
      <c r="C17" s="2" t="inlineStr">
        <is>
          <t>3-year historical average</t>
        </is>
      </c>
      <c r="D17" s="2" t="n"/>
      <c r="E17" s="2" t="n"/>
      <c r="F17" s="2" t="n"/>
    </row>
    <row r="18">
      <c r="A18" s="2" t="inlineStr">
        <is>
          <t>Working capital % revenue</t>
        </is>
      </c>
      <c r="B18" s="17" t="n">
        <v>0.1401033603191914</v>
      </c>
      <c r="C18" s="2" t="inlineStr">
        <is>
          <t>3-year historical average</t>
        </is>
      </c>
      <c r="D18" s="2" t="n"/>
      <c r="E18" s="2" t="n"/>
      <c r="F18" s="2" t="n"/>
    </row>
    <row r="19">
      <c r="A19" s="2" t="inlineStr">
        <is>
          <t>Terminal growth rate</t>
        </is>
      </c>
      <c r="B19" s="17" t="n">
        <v>0.015</v>
      </c>
      <c r="C19" s="2" t="inlineStr">
        <is>
          <t>3-year CAGR (FY2022-FY2025, 3 growth periods); capped to 1.5%-2.5% terminal range</t>
        </is>
      </c>
      <c r="D19" s="2" t="n"/>
      <c r="E19" s="2" t="n"/>
      <c r="F19" s="2" t="n"/>
    </row>
    <row r="20">
      <c r="A20" s="2" t="inlineStr">
        <is>
          <t>Discount rate = WACC</t>
        </is>
      </c>
      <c r="B20" s="17" t="n">
        <v>0.08924128472718237</v>
      </c>
      <c r="C20" s="2" t="inlineStr">
        <is>
          <t>WACC from CAPM + cost of debt</t>
        </is>
      </c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4" t="inlineStr">
        <is>
          <t>Tier 1 FCF projections</t>
        </is>
      </c>
      <c r="B22" s="2" t="n"/>
      <c r="C22" s="2" t="n"/>
      <c r="D22" s="2" t="n"/>
      <c r="E22" s="2" t="n"/>
      <c r="F22" s="2" t="n"/>
    </row>
    <row r="23">
      <c r="A23" s="3" t="inlineStr">
        <is>
          <t>Year</t>
        </is>
      </c>
      <c r="B23" s="3" t="inlineStr">
        <is>
          <t>Revenue</t>
        </is>
      </c>
      <c r="C23" s="3" t="inlineStr">
        <is>
          <t>EBIT</t>
        </is>
      </c>
      <c r="D23" s="3" t="inlineStr">
        <is>
          <t>FCF</t>
        </is>
      </c>
      <c r="E23" s="3" t="inlineStr">
        <is>
          <t>PV FCF</t>
        </is>
      </c>
      <c r="F23" s="2" t="n"/>
    </row>
    <row r="24">
      <c r="A24" s="2" t="inlineStr">
        <is>
          <t>Year 1</t>
        </is>
      </c>
      <c r="B24" s="14" t="n">
        <v>17197.88705485837</v>
      </c>
      <c r="C24" s="14" t="n">
        <v>316.5366254312383</v>
      </c>
      <c r="D24" s="14" t="n">
        <v>187.4634340488146</v>
      </c>
      <c r="E24" s="14" t="n">
        <v>172.1045985653838</v>
      </c>
      <c r="F24" s="2" t="n"/>
    </row>
    <row r="25">
      <c r="A25" s="2" t="inlineStr">
        <is>
          <t>Year 2</t>
        </is>
      </c>
      <c r="B25" s="14" t="n">
        <v>15553.60323683556</v>
      </c>
      <c r="C25" s="14" t="n">
        <v>286.2726721125602</v>
      </c>
      <c r="D25" s="14" t="n">
        <v>169.5401223016096</v>
      </c>
      <c r="E25" s="14" t="n">
        <v>142.8973926686155</v>
      </c>
      <c r="F25" s="2" t="n"/>
    </row>
    <row r="26">
      <c r="A26" s="2" t="inlineStr">
        <is>
          <t>Year 3</t>
        </is>
      </c>
      <c r="B26" s="14" t="n">
        <v>14066.52880538375</v>
      </c>
      <c r="C26" s="14" t="n">
        <v>258.9022445248376</v>
      </c>
      <c r="D26" s="14" t="n">
        <v>153.3304519672882</v>
      </c>
      <c r="E26" s="14" t="n">
        <v>118.6468287407839</v>
      </c>
      <c r="F26" s="2" t="n"/>
    </row>
    <row r="27">
      <c r="A27" s="2" t="inlineStr">
        <is>
          <t>Year 4</t>
        </is>
      </c>
      <c r="B27" s="14" t="n">
        <v>12721.6330273928</v>
      </c>
      <c r="C27" s="14" t="n">
        <v>234.1486937099012</v>
      </c>
      <c r="D27" s="14" t="n">
        <v>138.6705824044913</v>
      </c>
      <c r="E27" s="14" t="n">
        <v>98.51173424059709</v>
      </c>
      <c r="F27" s="2" t="n"/>
    </row>
    <row r="28">
      <c r="A28" s="2" t="inlineStr">
        <is>
          <t>Year 5</t>
        </is>
      </c>
      <c r="B28" s="14" t="n">
        <v>11505.32225275859</v>
      </c>
      <c r="C28" s="14" t="n">
        <v>211.7618210173278</v>
      </c>
      <c r="D28" s="14" t="n">
        <v>125.4123377168633</v>
      </c>
      <c r="E28" s="14" t="n">
        <v>81.79368876594489</v>
      </c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inlineStr">
        <is>
          <t>Terminal value</t>
        </is>
      </c>
      <c r="B30" s="14" t="n">
        <v>1714.592133613895</v>
      </c>
      <c r="C30" s="2" t="n"/>
      <c r="D30" s="2" t="n"/>
      <c r="E30" s="2" t="n"/>
      <c r="F30" s="2" t="n"/>
    </row>
    <row r="31">
      <c r="A31" s="2" t="inlineStr">
        <is>
          <t>PV terminal value</t>
        </is>
      </c>
      <c r="B31" s="14" t="n">
        <v>1118.253737155996</v>
      </c>
      <c r="C31" s="2" t="n"/>
      <c r="D31" s="2" t="n"/>
      <c r="E31" s="2" t="n"/>
      <c r="F31" s="2" t="n"/>
    </row>
    <row r="32">
      <c r="A32" s="2" t="inlineStr">
        <is>
          <t>Enterprise value</t>
        </is>
      </c>
      <c r="B32" s="14" t="n">
        <v>1732.207980137321</v>
      </c>
      <c r="C32" s="2" t="n"/>
      <c r="D32" s="2" t="n"/>
      <c r="E32" s="2" t="n"/>
      <c r="F32" s="2" t="n"/>
    </row>
    <row r="33">
      <c r="A33" s="2" t="inlineStr">
        <is>
          <t>Equity value</t>
        </is>
      </c>
      <c r="B33" s="14" t="n">
        <v>-2084.792019862679</v>
      </c>
      <c r="C33" s="2" t="n"/>
      <c r="D33" s="2" t="n"/>
      <c r="E33" s="2" t="n"/>
      <c r="F33" s="2" t="n"/>
    </row>
    <row r="34">
      <c r="A34" s="2" t="inlineStr">
        <is>
          <t>Implied share price</t>
        </is>
      </c>
      <c r="B34" s="9" t="n">
        <v>-2.713574216485772</v>
      </c>
      <c r="C34" s="2" t="n"/>
      <c r="D34" s="2" t="n"/>
      <c r="E34" s="2" t="n"/>
      <c r="F34" s="2" t="n"/>
    </row>
    <row r="35">
      <c r="A35" s="2" t="inlineStr">
        <is>
          <t>Upside / downside</t>
        </is>
      </c>
      <c r="B35" s="6" t="n">
        <v>-1.099434745932055</v>
      </c>
      <c r="C35" s="2" t="n"/>
      <c r="D35" s="2" t="n"/>
      <c r="E35" s="2" t="n"/>
      <c r="F35" s="2" t="n"/>
    </row>
    <row r="36">
      <c r="A36" s="2" t="inlineStr">
        <is>
          <t>Status</t>
        </is>
      </c>
      <c r="B36" s="2" t="inlineStr">
        <is>
          <t>REJECTED - negative or zero implied price</t>
        </is>
      </c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4" t="inlineStr">
        <is>
          <t>Tier 2 Assumptions - Smoothed DCF</t>
        </is>
      </c>
      <c r="B39" s="2" t="n"/>
      <c r="C39" s="2" t="n"/>
      <c r="D39" s="2" t="n"/>
      <c r="E39" s="2" t="n"/>
      <c r="F39" s="2" t="n"/>
    </row>
    <row r="40">
      <c r="A40" s="3" t="inlineStr">
        <is>
          <t>Assumption</t>
        </is>
      </c>
      <c r="B40" s="3" t="inlineStr">
        <is>
          <t>Value</t>
        </is>
      </c>
      <c r="C40" s="3" t="inlineStr">
        <is>
          <t>Source</t>
        </is>
      </c>
      <c r="D40" s="2" t="n"/>
      <c r="E40" s="2" t="n"/>
      <c r="F40" s="2" t="n"/>
    </row>
    <row r="41">
      <c r="A41" s="2" t="inlineStr">
        <is>
          <t>Revenue growth % per year</t>
        </is>
      </c>
      <c r="B41" s="17" t="n">
        <v>0</v>
      </c>
      <c r="C41" s="2" t="inlineStr">
        <is>
          <t>3-year CAGR (FY2022-FY2025, 3 growth periods); floored at 0%</t>
        </is>
      </c>
      <c r="D41" s="2" t="n"/>
      <c r="E41" s="2" t="n"/>
      <c r="F41" s="2" t="n"/>
    </row>
    <row r="42">
      <c r="A42" s="2" t="inlineStr">
        <is>
          <t>EBIT margin %</t>
        </is>
      </c>
      <c r="B42" s="17" t="n">
        <v>0.0316040856469255</v>
      </c>
      <c r="C42" s="2" t="inlineStr">
        <is>
          <t>3-year historical average</t>
        </is>
      </c>
      <c r="D42" s="2" t="n"/>
      <c r="E42" s="2" t="n"/>
      <c r="F42" s="2" t="n"/>
    </row>
    <row r="43">
      <c r="A43" s="2" t="inlineStr">
        <is>
          <t>Tax rate</t>
        </is>
      </c>
      <c r="B43" s="17" t="n">
        <v>0.2763819095477387</v>
      </c>
      <c r="C43" s="2" t="inlineStr">
        <is>
          <t>Company effective tax rate</t>
        </is>
      </c>
      <c r="D43" s="2" t="n"/>
      <c r="E43" s="2" t="n"/>
      <c r="F43" s="2" t="n"/>
    </row>
    <row r="44">
      <c r="A44" s="2" t="inlineStr">
        <is>
          <t>D&amp;A % revenue</t>
        </is>
      </c>
      <c r="B44" s="17" t="n">
        <v>0.0397997151345799</v>
      </c>
      <c r="C44" s="2" t="inlineStr">
        <is>
          <t>5-year historical average</t>
        </is>
      </c>
      <c r="D44" s="2" t="n"/>
      <c r="E44" s="2" t="n"/>
      <c r="F44" s="2" t="n"/>
    </row>
    <row r="45">
      <c r="A45" s="2" t="inlineStr">
        <is>
          <t>CapEx % revenue</t>
        </is>
      </c>
      <c r="B45" s="17" t="n">
        <v>0.06346798108254566</v>
      </c>
      <c r="C45" s="2" t="inlineStr">
        <is>
          <t>5-year historical average</t>
        </is>
      </c>
      <c r="D45" s="2" t="n"/>
      <c r="E45" s="2" t="n"/>
      <c r="F45" s="2" t="n"/>
    </row>
    <row r="46">
      <c r="A46" s="2" t="inlineStr">
        <is>
          <t>Working capital % revenue</t>
        </is>
      </c>
      <c r="B46" s="17" t="n">
        <v>0.1401033603191914</v>
      </c>
      <c r="C46" s="2" t="inlineStr">
        <is>
          <t>3-year historical average</t>
        </is>
      </c>
      <c r="D46" s="2" t="n"/>
      <c r="E46" s="2" t="n"/>
      <c r="F46" s="2" t="n"/>
    </row>
    <row r="47">
      <c r="A47" s="2" t="inlineStr">
        <is>
          <t>Terminal growth rate</t>
        </is>
      </c>
      <c r="B47" s="17" t="n">
        <v>0.015</v>
      </c>
      <c r="C47" s="2" t="inlineStr">
        <is>
          <t>3-year CAGR (FY2022-FY2025, 3 growth periods); capped to 1.5%-2.5% terminal range</t>
        </is>
      </c>
      <c r="D47" s="2" t="n"/>
      <c r="E47" s="2" t="n"/>
      <c r="F47" s="2" t="n"/>
    </row>
    <row r="48">
      <c r="A48" s="2" t="inlineStr">
        <is>
          <t>Discount rate = WACC</t>
        </is>
      </c>
      <c r="B48" s="17" t="n">
        <v>0.08924128472718237</v>
      </c>
      <c r="C48" s="2" t="inlineStr">
        <is>
          <t>WACC from CAPM + cost of debt</t>
        </is>
      </c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Tier 2 FCF projections</t>
        </is>
      </c>
      <c r="B50" s="2" t="n"/>
      <c r="C50" s="2" t="n"/>
      <c r="D50" s="2" t="n"/>
      <c r="E50" s="2" t="n"/>
      <c r="F50" s="2" t="n"/>
    </row>
    <row r="51">
      <c r="A51" s="3" t="inlineStr">
        <is>
          <t>Year</t>
        </is>
      </c>
      <c r="B51" s="3" t="inlineStr">
        <is>
          <t>Revenue</t>
        </is>
      </c>
      <c r="C51" s="3" t="inlineStr">
        <is>
          <t>EBIT</t>
        </is>
      </c>
      <c r="D51" s="3" t="inlineStr">
        <is>
          <t>FCF</t>
        </is>
      </c>
      <c r="E51" s="3" t="inlineStr">
        <is>
          <t>PV FCF</t>
        </is>
      </c>
      <c r="F51" s="2" t="n"/>
    </row>
    <row r="52">
      <c r="A52" s="2" t="inlineStr">
        <is>
          <t>Year 1</t>
        </is>
      </c>
      <c r="B52" s="14" t="n">
        <v>19016</v>
      </c>
      <c r="C52" s="14" t="n">
        <v>600.9832926619353</v>
      </c>
      <c r="D52" s="14" t="n">
        <v>-15.19336263677474</v>
      </c>
      <c r="E52" s="14" t="n">
        <v>-13.94857397512265</v>
      </c>
      <c r="F52" s="2" t="n"/>
    </row>
    <row r="53">
      <c r="A53" s="2" t="inlineStr">
        <is>
          <t>Year 2</t>
        </is>
      </c>
      <c r="B53" s="14" t="n">
        <v>19016</v>
      </c>
      <c r="C53" s="14" t="n">
        <v>600.9832926619353</v>
      </c>
      <c r="D53" s="14" t="n">
        <v>-15.19336263677474</v>
      </c>
      <c r="E53" s="14" t="n">
        <v>-12.80577055855562</v>
      </c>
      <c r="F53" s="2" t="n"/>
    </row>
    <row r="54">
      <c r="A54" s="2" t="inlineStr">
        <is>
          <t>Year 3</t>
        </is>
      </c>
      <c r="B54" s="14" t="n">
        <v>19016</v>
      </c>
      <c r="C54" s="14" t="n">
        <v>600.9832926619353</v>
      </c>
      <c r="D54" s="14" t="n">
        <v>-15.19336263677474</v>
      </c>
      <c r="E54" s="14" t="n">
        <v>-11.75659675970052</v>
      </c>
      <c r="F54" s="2" t="n"/>
    </row>
    <row r="55">
      <c r="A55" s="2" t="inlineStr">
        <is>
          <t>Year 4</t>
        </is>
      </c>
      <c r="B55" s="14" t="n">
        <v>19016</v>
      </c>
      <c r="C55" s="14" t="n">
        <v>600.9832926619353</v>
      </c>
      <c r="D55" s="14" t="n">
        <v>-15.19336263677474</v>
      </c>
      <c r="E55" s="14" t="n">
        <v>-10.79338152578851</v>
      </c>
      <c r="F55" s="2" t="n"/>
    </row>
    <row r="56">
      <c r="A56" s="2" t="inlineStr">
        <is>
          <t>Year 5</t>
        </is>
      </c>
      <c r="B56" s="14" t="n">
        <v>19016</v>
      </c>
      <c r="C56" s="14" t="n">
        <v>600.9832926619353</v>
      </c>
      <c r="D56" s="14" t="n">
        <v>-15.19336263677474</v>
      </c>
      <c r="E56" s="14" t="n">
        <v>-9.909082291617219</v>
      </c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inlineStr">
        <is>
          <t>Terminal value</t>
        </is>
      </c>
      <c r="B58" s="14" t="n">
        <v>-207.7181602257495</v>
      </c>
      <c r="C58" s="2" t="n"/>
      <c r="D58" s="2" t="n"/>
      <c r="E58" s="2" t="n"/>
      <c r="F58" s="2" t="n"/>
    </row>
    <row r="59">
      <c r="A59" s="2" t="inlineStr">
        <is>
          <t>PV terminal value</t>
        </is>
      </c>
      <c r="B59" s="14" t="n">
        <v>-135.4733900814217</v>
      </c>
      <c r="C59" s="2" t="n"/>
      <c r="D59" s="2" t="n"/>
      <c r="E59" s="2" t="n"/>
      <c r="F59" s="2" t="n"/>
    </row>
    <row r="60">
      <c r="A60" s="2" t="inlineStr">
        <is>
          <t>Enterprise value</t>
        </is>
      </c>
      <c r="B60" s="14" t="n">
        <v>-194.6867951922063</v>
      </c>
      <c r="C60" s="2" t="n"/>
      <c r="D60" s="2" t="n"/>
      <c r="E60" s="2" t="n"/>
      <c r="F60" s="2" t="n"/>
    </row>
    <row r="61">
      <c r="A61" s="2" t="inlineStr">
        <is>
          <t>Equity value</t>
        </is>
      </c>
      <c r="B61" s="14" t="n">
        <v>-4011.686795192206</v>
      </c>
      <c r="C61" s="2" t="n"/>
      <c r="D61" s="2" t="n"/>
      <c r="E61" s="2" t="n"/>
      <c r="F61" s="2" t="n"/>
    </row>
    <row r="62">
      <c r="A62" s="2" t="inlineStr">
        <is>
          <t>Implied share price</t>
        </is>
      </c>
      <c r="B62" s="9" t="n">
        <v>-5.221628703647402</v>
      </c>
      <c r="C62" s="2" t="n"/>
      <c r="D62" s="2" t="n"/>
      <c r="E62" s="2" t="n"/>
      <c r="F62" s="2" t="n"/>
    </row>
    <row r="63">
      <c r="A63" s="2" t="inlineStr">
        <is>
          <t>Upside / downside</t>
        </is>
      </c>
      <c r="B63" s="6" t="n">
        <v>-1.191338538059634</v>
      </c>
      <c r="C63" s="2" t="n"/>
      <c r="D63" s="2" t="n"/>
      <c r="E63" s="2" t="n"/>
      <c r="F63" s="2" t="n"/>
    </row>
    <row r="64">
      <c r="A64" s="2" t="inlineStr">
        <is>
          <t>Status</t>
        </is>
      </c>
      <c r="B64" s="2" t="inlineStr">
        <is>
          <t>REJECTED - negative or zero implied price</t>
        </is>
      </c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4" t="inlineStr">
        <is>
          <t>Tier 3 Assumptions - Sector Benchmark DCF</t>
        </is>
      </c>
      <c r="B67" s="2" t="n"/>
      <c r="C67" s="2" t="n"/>
      <c r="D67" s="2" t="n"/>
      <c r="E67" s="2" t="n"/>
      <c r="F67" s="2" t="n"/>
    </row>
    <row r="68">
      <c r="A68" s="3" t="inlineStr">
        <is>
          <t>Assumption</t>
        </is>
      </c>
      <c r="B68" s="3" t="inlineStr">
        <is>
          <t>Value</t>
        </is>
      </c>
      <c r="C68" s="3" t="inlineStr">
        <is>
          <t>Source</t>
        </is>
      </c>
      <c r="D68" s="2" t="n"/>
      <c r="E68" s="2" t="n"/>
      <c r="F68" s="2" t="n"/>
    </row>
    <row r="69">
      <c r="A69" s="2" t="inlineStr">
        <is>
          <t>Revenue growth % per year</t>
        </is>
      </c>
      <c r="B69" s="17" t="n">
        <v>0.025</v>
      </c>
      <c r="C69" s="2" t="inlineStr">
        <is>
          <t>terminal-level 2.5% benchmark assumption</t>
        </is>
      </c>
      <c r="D69" s="2" t="n"/>
      <c r="E69" s="2" t="n"/>
      <c r="F69" s="2" t="n"/>
    </row>
    <row r="70">
      <c r="A70" s="2" t="inlineStr">
        <is>
          <t>EBIT margin %</t>
        </is>
      </c>
      <c r="B70" s="17" t="n">
        <v>0.07224667040449052</v>
      </c>
      <c r="C70" s="2" t="inlineStr">
        <is>
          <t>Damodaran sector benchmark: Metals &amp; Mining</t>
        </is>
      </c>
      <c r="D70" s="2" t="n"/>
      <c r="E70" s="2" t="n"/>
      <c r="F70" s="2" t="n"/>
    </row>
    <row r="71">
      <c r="A71" s="2" t="inlineStr">
        <is>
          <t>Tax rate</t>
        </is>
      </c>
      <c r="B71" s="17" t="n">
        <v>0.2763819095477387</v>
      </c>
      <c r="C71" s="2" t="inlineStr">
        <is>
          <t>Company effective tax rate</t>
        </is>
      </c>
      <c r="D71" s="2" t="n"/>
      <c r="E71" s="2" t="n"/>
      <c r="F71" s="2" t="n"/>
    </row>
    <row r="72">
      <c r="A72" s="2" t="inlineStr">
        <is>
          <t>D&amp;A % revenue</t>
        </is>
      </c>
      <c r="B72" s="17" t="n">
        <v>0.0397997151345799</v>
      </c>
      <c r="C72" s="2" t="inlineStr">
        <is>
          <t>company 5-year historical average</t>
        </is>
      </c>
      <c r="D72" s="2" t="n"/>
      <c r="E72" s="2" t="n"/>
      <c r="F72" s="2" t="n"/>
    </row>
    <row r="73">
      <c r="A73" s="2" t="inlineStr">
        <is>
          <t>CapEx % revenue</t>
        </is>
      </c>
      <c r="B73" s="17" t="n">
        <v>0.0889130837595911</v>
      </c>
      <c r="C73" s="2" t="inlineStr">
        <is>
          <t>Damodaran sector benchmark: Metals &amp; Mining</t>
        </is>
      </c>
      <c r="D73" s="2" t="n"/>
      <c r="E73" s="2" t="n"/>
      <c r="F73" s="2" t="n"/>
    </row>
    <row r="74">
      <c r="A74" s="2" t="inlineStr">
        <is>
          <t>Working capital % revenue</t>
        </is>
      </c>
      <c r="B74" s="17" t="n">
        <v>0.1401033603191914</v>
      </c>
      <c r="C74" s="2" t="inlineStr">
        <is>
          <t>3-year historical average</t>
        </is>
      </c>
      <c r="D74" s="2" t="n"/>
      <c r="E74" s="2" t="n"/>
      <c r="F74" s="2" t="n"/>
    </row>
    <row r="75">
      <c r="A75" s="2" t="inlineStr">
        <is>
          <t>Terminal growth rate</t>
        </is>
      </c>
      <c r="B75" s="17" t="n">
        <v>0.015</v>
      </c>
      <c r="C75" s="2" t="inlineStr">
        <is>
          <t>3-year CAGR (FY2022-FY2025, 3 growth periods); capped to 1.5%-2.5% terminal range</t>
        </is>
      </c>
      <c r="D75" s="2" t="n"/>
      <c r="E75" s="2" t="n"/>
      <c r="F75" s="2" t="n"/>
    </row>
    <row r="76">
      <c r="A76" s="2" t="inlineStr">
        <is>
          <t>Discount rate = WACC</t>
        </is>
      </c>
      <c r="B76" s="17" t="n">
        <v>0.08924128472718237</v>
      </c>
      <c r="C76" s="2" t="inlineStr">
        <is>
          <t>WACC from CAPM + cost of debt</t>
        </is>
      </c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4" t="inlineStr">
        <is>
          <t>Tier 3 FCF projections</t>
        </is>
      </c>
      <c r="B78" s="2" t="n"/>
      <c r="C78" s="2" t="n"/>
      <c r="D78" s="2" t="n"/>
      <c r="E78" s="2" t="n"/>
      <c r="F78" s="2" t="n"/>
    </row>
    <row r="79">
      <c r="A79" s="3" t="inlineStr">
        <is>
          <t>Year</t>
        </is>
      </c>
      <c r="B79" s="3" t="inlineStr">
        <is>
          <t>Revenue</t>
        </is>
      </c>
      <c r="C79" s="3" t="inlineStr">
        <is>
          <t>EBIT</t>
        </is>
      </c>
      <c r="D79" s="3" t="inlineStr">
        <is>
          <t>FCF</t>
        </is>
      </c>
      <c r="E79" s="3" t="inlineStr">
        <is>
          <t>PV FCF</t>
        </is>
      </c>
      <c r="F79" s="2" t="n"/>
    </row>
    <row r="80">
      <c r="A80" s="2" t="inlineStr">
        <is>
          <t>Year 1</t>
        </is>
      </c>
      <c r="B80" s="14" t="n">
        <v>19491.4</v>
      </c>
      <c r="C80" s="14" t="n">
        <v>1408.188751522086</v>
      </c>
      <c r="D80" s="14" t="n">
        <v>-4.902595340520534</v>
      </c>
      <c r="E80" s="14" t="n">
        <v>-4.500926846294177</v>
      </c>
      <c r="F80" s="2" t="n"/>
    </row>
    <row r="81">
      <c r="A81" s="2" t="inlineStr">
        <is>
          <t>Year 2</t>
        </is>
      </c>
      <c r="B81" s="14" t="n">
        <v>19978.685</v>
      </c>
      <c r="C81" s="14" t="n">
        <v>1443.393470310139</v>
      </c>
      <c r="D81" s="14" t="n">
        <v>-5.025160224033755</v>
      </c>
      <c r="E81" s="14" t="n">
        <v>-4.235471132190177</v>
      </c>
      <c r="F81" s="2" t="n"/>
    </row>
    <row r="82">
      <c r="A82" s="2" t="inlineStr">
        <is>
          <t>Year 3</t>
        </is>
      </c>
      <c r="B82" s="14" t="n">
        <v>20478.152125</v>
      </c>
      <c r="C82" s="14" t="n">
        <v>1479.478307067892</v>
      </c>
      <c r="D82" s="14" t="n">
        <v>-5.150789229634313</v>
      </c>
      <c r="E82" s="14" t="n">
        <v>-3.985671468174337</v>
      </c>
      <c r="F82" s="2" t="n"/>
    </row>
    <row r="83">
      <c r="A83" s="2" t="inlineStr">
        <is>
          <t>Year 4</t>
        </is>
      </c>
      <c r="B83" s="14" t="n">
        <v>20990.10592812499</v>
      </c>
      <c r="C83" s="14" t="n">
        <v>1516.465264744589</v>
      </c>
      <c r="D83" s="14" t="n">
        <v>-5.279558960374928</v>
      </c>
      <c r="E83" s="14" t="n">
        <v>-3.750604491549123</v>
      </c>
      <c r="F83" s="2" t="n"/>
    </row>
    <row r="84">
      <c r="A84" s="2" t="inlineStr">
        <is>
          <t>Year 5</t>
        </is>
      </c>
      <c r="B84" s="14" t="n">
        <v>21514.85857632812</v>
      </c>
      <c r="C84" s="14" t="n">
        <v>1554.376896363204</v>
      </c>
      <c r="D84" s="14" t="n">
        <v>-5.411547934384785</v>
      </c>
      <c r="E84" s="14" t="n">
        <v>-3.529401297712543</v>
      </c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inlineStr">
        <is>
          <t>Terminal value</t>
        </is>
      </c>
      <c r="B86" s="14" t="n">
        <v>-73.98472660575439</v>
      </c>
      <c r="C86" s="2" t="n"/>
      <c r="D86" s="2" t="n"/>
      <c r="E86" s="2" t="n"/>
      <c r="F86" s="2" t="n"/>
    </row>
    <row r="87">
      <c r="A87" s="2" t="inlineStr">
        <is>
          <t>PV terminal value</t>
        </is>
      </c>
      <c r="B87" s="14" t="n">
        <v>-48.25269835163032</v>
      </c>
      <c r="C87" s="2" t="n"/>
      <c r="D87" s="2" t="n"/>
      <c r="E87" s="2" t="n"/>
      <c r="F87" s="2" t="n"/>
    </row>
    <row r="88">
      <c r="A88" s="2" t="inlineStr">
        <is>
          <t>Enterprise value</t>
        </is>
      </c>
      <c r="B88" s="14" t="n">
        <v>-68.25477358755067</v>
      </c>
      <c r="C88" s="2" t="n"/>
      <c r="D88" s="2" t="n"/>
      <c r="E88" s="2" t="n"/>
      <c r="F88" s="2" t="n"/>
    </row>
    <row r="89">
      <c r="A89" s="2" t="inlineStr">
        <is>
          <t>Equity value</t>
        </is>
      </c>
      <c r="B89" s="14" t="n">
        <v>-3885.254773587551</v>
      </c>
      <c r="C89" s="2" t="n"/>
      <c r="D89" s="2" t="n"/>
      <c r="E89" s="2" t="n"/>
      <c r="F89" s="2" t="n"/>
    </row>
    <row r="90">
      <c r="A90" s="2" t="inlineStr">
        <is>
          <t>Implied share price</t>
        </is>
      </c>
      <c r="B90" s="9" t="n">
        <v>-5.057064243166033</v>
      </c>
      <c r="C90" s="2" t="n"/>
      <c r="D90" s="2" t="n"/>
      <c r="E90" s="2" t="n"/>
      <c r="F90" s="2" t="n"/>
    </row>
    <row r="91">
      <c r="A91" s="2" t="inlineStr">
        <is>
          <t>Upside / downside</t>
        </is>
      </c>
      <c r="B91" s="6" t="n">
        <v>-1.18530832697567</v>
      </c>
      <c r="C91" s="2" t="n"/>
      <c r="D91" s="2" t="n"/>
      <c r="E91" s="2" t="n"/>
      <c r="F91" s="2" t="n"/>
    </row>
    <row r="92">
      <c r="A92" s="2" t="inlineStr">
        <is>
          <t>Status</t>
        </is>
      </c>
      <c r="B92" s="2" t="inlineStr">
        <is>
          <t>REJECTED - negative or zero implied price</t>
        </is>
      </c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4" t="inlineStr">
        <is>
          <t>Tier 4 - Multiples-Based Valuation</t>
        </is>
      </c>
      <c r="B95" s="2" t="n"/>
      <c r="C95" s="2" t="n"/>
      <c r="D95" s="2" t="n"/>
      <c r="E95" s="2" t="n"/>
      <c r="F95" s="2" t="n"/>
    </row>
    <row r="96">
      <c r="A96" s="3" t="inlineStr">
        <is>
          <t>Method</t>
        </is>
      </c>
      <c r="B96" s="3" t="inlineStr">
        <is>
          <t>Multiple</t>
        </is>
      </c>
      <c r="C96" s="3" t="inlineStr">
        <is>
          <t>Implied per share</t>
        </is>
      </c>
      <c r="D96" s="3" t="inlineStr">
        <is>
          <t>Source</t>
        </is>
      </c>
      <c r="E96" s="2" t="n"/>
      <c r="F96" s="2" t="n"/>
    </row>
    <row r="97">
      <c r="A97" s="2" t="inlineStr">
        <is>
          <t>EV/EBITDA</t>
        </is>
      </c>
      <c r="B97" s="5" t="n">
        <v>4.901596636372224</v>
      </c>
      <c r="C97" s="9" t="n">
        <v>3.22361834624553</v>
      </c>
      <c r="D97" s="2" t="inlineStr">
        <is>
          <t>Damodaran sector benchmark: Metals &amp; Mining</t>
        </is>
      </c>
      <c r="E97" s="2" t="n"/>
      <c r="F97" s="2" t="n"/>
    </row>
    <row r="98">
      <c r="A98" s="2" t="inlineStr">
        <is>
          <t>EV/Sales</t>
        </is>
      </c>
      <c r="B98" s="5" t="n">
        <v>1.096952511377626</v>
      </c>
      <c r="C98" s="9" t="n">
        <v>22.18278482840437</v>
      </c>
      <c r="D98" s="2" t="inlineStr">
        <is>
          <t>Damodaran sector benchmark: Metals &amp; Mining</t>
        </is>
      </c>
      <c r="E98" s="2" t="n"/>
      <c r="F98" s="2" t="n"/>
    </row>
    <row r="99">
      <c r="A99" s="2" t="inlineStr">
        <is>
          <t>P/Book</t>
        </is>
      </c>
      <c r="B99" s="5" t="n">
        <v>2.009500095310942</v>
      </c>
      <c r="C99" s="9" t="n">
        <v>19.13030768906579</v>
      </c>
      <c r="D99" s="2" t="inlineStr">
        <is>
          <t>Damodaran sector benchmark: Metals &amp; Mining</t>
        </is>
      </c>
      <c r="E99" s="2" t="n"/>
      <c r="F99" s="2" t="n"/>
    </row>
    <row r="100">
      <c r="A100" s="2" t="inlineStr">
        <is>
          <t>Median (selected)</t>
        </is>
      </c>
      <c r="B100" s="2" t="inlineStr">
        <is>
          <t>-</t>
        </is>
      </c>
      <c r="C100" s="8" t="n">
        <v>19.13030768906579</v>
      </c>
      <c r="D100" s="2" t="inlineStr">
        <is>
          <t>Median of 3 methods</t>
        </is>
      </c>
      <c r="E100" s="2" t="n"/>
      <c r="F100" s="2" t="n"/>
    </row>
    <row r="101">
      <c r="A101" s="2" t="inlineStr">
        <is>
          <t>Status</t>
        </is>
      </c>
      <c r="B101" s="2" t="inlineStr">
        <is>
          <t>ACCEPTED ✓ (-30% vs market, within 70% limit); Used as primary result</t>
        </is>
      </c>
      <c r="C101" s="2" t="n"/>
      <c r="D101" s="2" t="n"/>
      <c r="E101" s="2" t="n"/>
      <c r="F101" s="2" t="n"/>
    </row>
    <row r="102">
      <c r="A102" s="2" t="inlineStr">
        <is>
          <t>Source</t>
        </is>
      </c>
      <c r="B102" s="2" t="inlineStr">
        <is>
          <t>Sector multiples (median of EV/EBITDA, EV/Sales, P/Book)</t>
        </is>
      </c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4" t="inlineStr">
        <is>
          <t>Tier 5 - Tangible Book Floor</t>
        </is>
      </c>
      <c r="B105" s="2" t="n"/>
      <c r="C105" s="2" t="n"/>
      <c r="D105" s="2" t="n"/>
      <c r="E105" s="2" t="n"/>
      <c r="F105" s="2" t="n"/>
    </row>
    <row r="106">
      <c r="A106" s="2" t="inlineStr">
        <is>
          <t>Total equity</t>
        </is>
      </c>
      <c r="B106" s="14" t="n">
        <v>7314</v>
      </c>
      <c r="C106" s="2" t="n"/>
      <c r="D106" s="2" t="n"/>
      <c r="E106" s="2" t="n"/>
      <c r="F106" s="2" t="n"/>
    </row>
    <row r="107">
      <c r="A107" s="2" t="inlineStr">
        <is>
          <t>Shares outstanding</t>
        </is>
      </c>
      <c r="B107" s="18" t="n">
        <v>768.282661</v>
      </c>
      <c r="C107" s="2" t="n"/>
      <c r="D107" s="2" t="n"/>
      <c r="E107" s="2" t="n"/>
      <c r="F107" s="2" t="n"/>
    </row>
    <row r="108">
      <c r="A108" s="2" t="inlineStr">
        <is>
          <t>Book value/share</t>
        </is>
      </c>
      <c r="B108" s="9" t="n">
        <v>9.519933705753644</v>
      </c>
      <c r="C108" s="2" t="n"/>
      <c r="D108" s="2" t="n"/>
      <c r="E108" s="2" t="n"/>
      <c r="F108" s="2" t="n"/>
    </row>
    <row r="109">
      <c r="A109" s="2" t="inlineStr">
        <is>
          <t>Source</t>
        </is>
      </c>
      <c r="B109" s="2" t="inlineStr">
        <is>
          <t>Latest balance sheet equity / shares</t>
        </is>
      </c>
      <c r="C109" s="2" t="n"/>
      <c r="D109" s="2" t="n"/>
      <c r="E109" s="2" t="n"/>
      <c r="F109" s="2" t="n"/>
    </row>
    <row r="110">
      <c r="A110" s="2" t="inlineStr">
        <is>
          <t>Status</t>
        </is>
      </c>
      <c r="B110" s="2" t="inlineStr">
        <is>
          <t>Reference</t>
        </is>
      </c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4" t="inlineStr">
        <is>
          <t>Final Selected Result</t>
        </is>
      </c>
      <c r="B113" s="2" t="n"/>
      <c r="C113" s="2" t="n"/>
      <c r="D113" s="2" t="n"/>
      <c r="E113" s="2" t="n"/>
      <c r="F113" s="2" t="n"/>
    </row>
    <row r="114">
      <c r="A114" s="2" t="inlineStr">
        <is>
          <t>Selected tier</t>
        </is>
      </c>
      <c r="B114" s="2" t="inlineStr">
        <is>
          <t>Tier 4 - multiples valuation</t>
        </is>
      </c>
      <c r="C114" s="2" t="n"/>
      <c r="D114" s="2" t="n"/>
      <c r="E114" s="2" t="n"/>
      <c r="F114" s="2" t="n"/>
    </row>
    <row r="115">
      <c r="A115" s="2" t="inlineStr">
        <is>
          <t>Selected estimate</t>
        </is>
      </c>
      <c r="B115" s="8" t="n">
        <v>19.13030768906579</v>
      </c>
      <c r="C115" s="2" t="n"/>
      <c r="D115" s="2" t="n"/>
      <c r="E115" s="2" t="n"/>
      <c r="F115" s="2" t="n"/>
    </row>
    <row r="116">
      <c r="A116" s="2" t="inlineStr">
        <is>
          <t>Current market price</t>
        </is>
      </c>
      <c r="B116" s="9" t="n">
        <v>27.29</v>
      </c>
      <c r="C116" s="2" t="n"/>
      <c r="D116" s="2" t="n"/>
      <c r="E116" s="2" t="n"/>
      <c r="F116" s="2" t="n"/>
    </row>
    <row r="117">
      <c r="A117" s="2" t="inlineStr">
        <is>
          <t>Upside / downside</t>
        </is>
      </c>
      <c r="B117" s="6" t="n">
        <v>-0.2989993518114402</v>
      </c>
      <c r="C117" s="2" t="n"/>
      <c r="D117" s="2" t="n"/>
      <c r="E117" s="2" t="n"/>
      <c r="F117" s="2" t="n"/>
    </row>
    <row r="118">
      <c r="A118" s="2" t="inlineStr">
        <is>
          <t>Confidence</t>
        </is>
      </c>
      <c r="B118" s="2" t="inlineStr">
        <is>
          <t>LOW - multiples-based valuation; DCF model not applicable</t>
        </is>
      </c>
      <c r="C118" s="2" t="n"/>
      <c r="D118" s="2" t="n"/>
      <c r="E118" s="2" t="n"/>
      <c r="F118" s="2" t="n"/>
    </row>
    <row r="119">
      <c r="A119" s="2" t="inlineStr">
        <is>
          <t>Reason</t>
        </is>
      </c>
      <c r="B119" s="2" t="inlineStr">
        <is>
          <t>DCF model was not applicable; selected estimate uses the median of sector EV/EBITDA, EV/Sales, and P/Book valuation outputs.</t>
        </is>
      </c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4" t="inlineStr">
        <is>
          <t>Reverse DCF Analysis</t>
        </is>
      </c>
      <c r="B121" s="2" t="n"/>
      <c r="C121" s="2" t="n"/>
      <c r="D121" s="2" t="n"/>
      <c r="E121" s="2" t="n"/>
      <c r="F121" s="2" t="n"/>
    </row>
    <row r="122">
      <c r="A122" s="3" t="inlineStr">
        <is>
          <t>Metric</t>
        </is>
      </c>
      <c r="B122" s="3" t="inlineStr">
        <is>
          <t>Value</t>
        </is>
      </c>
      <c r="C122" s="3" t="inlineStr">
        <is>
          <t>Source</t>
        </is>
      </c>
      <c r="D122" s="2" t="n"/>
      <c r="E122" s="2" t="n"/>
      <c r="F122" s="2" t="n"/>
    </row>
    <row r="123">
      <c r="A123" s="2" t="inlineStr">
        <is>
          <t>Implied growth rate from reverse DCF</t>
        </is>
      </c>
      <c r="B123" s="6" t="n"/>
      <c r="C123" s="2" t="inlineStr">
        <is>
          <t>Solved from current market price using Tier 1 DCF inputs</t>
        </is>
      </c>
      <c r="D123" s="2" t="n"/>
      <c r="E123" s="2" t="n"/>
      <c r="F123" s="2" t="n"/>
    </row>
    <row r="124">
      <c r="A124" s="2" t="inlineStr">
        <is>
          <t>Tier 1 assumed growth rate</t>
        </is>
      </c>
      <c r="B124" s="6" t="n">
        <v>-0.09560964162503338</v>
      </c>
      <c r="C124" s="2" t="inlineStr">
        <is>
          <t>Same as Tier 1 DCF assumption: 3-year CAGR (FY2022-FY2025, 3 growth periods)</t>
        </is>
      </c>
      <c r="D124" s="2" t="n"/>
      <c r="E124" s="2" t="n"/>
      <c r="F124" s="2" t="n"/>
    </row>
    <row r="125">
      <c r="A125" s="2" t="inlineStr">
        <is>
          <t>Analyst consensus growth rate</t>
        </is>
      </c>
      <c r="B125" s="6" t="n">
        <v>0.029</v>
      </c>
      <c r="C125" s="2" t="inlineStr">
        <is>
          <t>yfinance revenueGrowth</t>
        </is>
      </c>
      <c r="D125" s="2" t="n"/>
      <c r="E125" s="2" t="n"/>
      <c r="F125" s="2" t="n"/>
    </row>
    <row r="126">
      <c r="A126" s="2" t="inlineStr">
        <is>
          <t>Gap: implied vs Tier 1 assumed</t>
        </is>
      </c>
      <c r="B126" s="19" t="n"/>
      <c r="C126" s="2" t="inlineStr">
        <is>
          <t>Calculated: implied minus Tier 1 assumed (in percentage points)</t>
        </is>
      </c>
      <c r="D126" s="2" t="n"/>
      <c r="E126" s="2" t="n"/>
      <c r="F126" s="2" t="n"/>
    </row>
    <row r="127">
      <c r="A127" s="2" t="inlineStr">
        <is>
          <t>Interpretation</t>
        </is>
      </c>
      <c r="B127" s="2" t="inlineStr">
        <is>
          <t>Market price implies growth beyond 50% - likely irrational pricing.</t>
        </is>
      </c>
      <c r="C127" s="2" t="inlineStr">
        <is>
          <t>Generated from gap analysis logic</t>
        </is>
      </c>
      <c r="D127" s="2" t="n"/>
      <c r="E127" s="2" t="n"/>
      <c r="F127" s="2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2" customWidth="1" min="4" max="4"/>
    <col width="10" customWidth="1" min="5" max="5"/>
    <col width="42" customWidth="1" min="6" max="6"/>
  </cols>
  <sheetData>
    <row r="1">
      <c r="A1" s="1" t="inlineStr">
        <is>
          <t>Validation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Source: https://pages.stern.nyu.edu/~adamodar/pc/datasets/waccEurope.xls - Updated January 2026</t>
        </is>
      </c>
      <c r="B3" s="2" t="n"/>
      <c r="C3" s="2" t="n"/>
      <c r="D3" s="2" t="n"/>
      <c r="E3" s="2" t="n"/>
      <c r="F3" s="2" t="n"/>
    </row>
    <row r="4">
      <c r="A4" s="3" t="inlineStr">
        <is>
          <t>Metric</t>
        </is>
      </c>
      <c r="B4" s="3" t="inlineStr">
        <is>
          <t>Calculated</t>
        </is>
      </c>
      <c r="C4" s="3" t="inlineStr">
        <is>
          <t>Damodaran (industry avg)</t>
        </is>
      </c>
      <c r="D4" s="3" t="inlineStr">
        <is>
          <t>Difference</t>
        </is>
      </c>
      <c r="E4" s="3" t="inlineStr">
        <is>
          <t>Status</t>
        </is>
      </c>
      <c r="F4" s="3" t="inlineStr">
        <is>
          <t>Note</t>
        </is>
      </c>
    </row>
    <row r="5">
      <c r="A5" s="2" t="inlineStr">
        <is>
          <t>Cost of Equity</t>
        </is>
      </c>
      <c r="B5" s="6" t="n">
        <v>0.1060949125121868</v>
      </c>
      <c r="C5" s="6" t="n">
        <v>0.0983995897223422</v>
      </c>
      <c r="D5" s="20" t="n">
        <v>0.007695322789844611</v>
      </c>
      <c r="E5" s="21" t="inlineStr">
        <is>
          <t>✓ OK</t>
        </is>
      </c>
      <c r="F5" s="2" t="inlineStr"/>
    </row>
    <row r="6">
      <c r="A6" s="2" t="inlineStr">
        <is>
          <t>Cost of Debt</t>
        </is>
      </c>
      <c r="B6" s="6" t="n">
        <v>0.02912808641975309</v>
      </c>
      <c r="C6" s="6" t="n">
        <v>0.057413</v>
      </c>
      <c r="D6" s="20" t="n">
        <v>-0.02828491358024691</v>
      </c>
      <c r="E6" s="22" t="inlineStr">
        <is>
          <t>⚠ Review</t>
        </is>
      </c>
      <c r="F6" s="2" t="inlineStr">
        <is>
          <t>Difference may reflect company-specific credit rating; investment-grade firms typically enjoy below-average debt costs</t>
        </is>
      </c>
    </row>
    <row r="7">
      <c r="A7" s="2" t="inlineStr">
        <is>
          <t>WACC</t>
        </is>
      </c>
      <c r="B7" s="6" t="n">
        <v>0.08924128472718237</v>
      </c>
      <c r="C7" s="6" t="n">
        <v>0.08535157903860636</v>
      </c>
      <c r="D7" s="20" t="n">
        <v>0.003889705688576009</v>
      </c>
      <c r="E7" s="21" t="inlineStr">
        <is>
          <t>✓ OK</t>
        </is>
      </c>
      <c r="F7" s="2" t="inlineStr"/>
    </row>
    <row r="8">
      <c r="A8" s="2" t="inlineStr">
        <is>
          <t>Tax rate</t>
        </is>
      </c>
      <c r="B8" s="6" t="n">
        <v>0.2763819095477387</v>
      </c>
      <c r="C8" s="6" t="n">
        <v>0.25</v>
      </c>
      <c r="D8" s="20" t="n">
        <v>0.02638190954773867</v>
      </c>
      <c r="E8" s="21" t="inlineStr">
        <is>
          <t>✓ OK</t>
        </is>
      </c>
      <c r="F8" s="2" t="inlineStr">
        <is>
          <t>Effective tax rate is within a normal 18%-30% operating range</t>
        </is>
      </c>
    </row>
    <row r="9">
      <c r="A9" s="23" t="inlineStr">
        <is>
          <t>Tax rate comparison uses Damodaran's marginal tax-rate convention, because industry effective tax rates can be near zero when sectors have widespread tax shields, NOLs, or offshore structures.</t>
        </is>
      </c>
      <c r="B9" s="2" t="n"/>
      <c r="C9" s="2" t="n"/>
      <c r="D9" s="2" t="n"/>
      <c r="E9" s="2" t="n"/>
      <c r="F9" s="2" t="n"/>
    </row>
    <row r="10">
      <c r="A10" s="23" t="inlineStr">
        <is>
          <t>Industry effective tax rate (Damodaran raw): 6.99%, indicating widespread tax shield use in this sector.</t>
        </is>
      </c>
      <c r="B10" s="2" t="n"/>
      <c r="C10" s="2" t="n"/>
      <c r="D10" s="2" t="n"/>
      <c r="E10" s="2" t="n"/>
      <c r="F10" s="2" t="n"/>
    </row>
    <row r="11">
      <c r="A11" s="4" t="inlineStr">
        <is>
          <t>Sanity checks</t>
        </is>
      </c>
      <c r="B11" s="2" t="n"/>
      <c r="C11" s="2" t="n"/>
      <c r="D11" s="2" t="n"/>
      <c r="E11" s="2" t="n"/>
      <c r="F11" s="2" t="n"/>
    </row>
    <row r="12">
      <c r="A12" s="3" t="inlineStr">
        <is>
          <t>Severity</t>
        </is>
      </c>
      <c r="B12" s="3" t="inlineStr">
        <is>
          <t>Message</t>
        </is>
      </c>
      <c r="C12" s="2" t="n"/>
      <c r="D12" s="2" t="n"/>
      <c r="E12" s="2" t="n"/>
      <c r="F12" s="2" t="n"/>
    </row>
    <row r="13">
      <c r="A13" s="2" t="inlineStr">
        <is>
          <t>warning</t>
        </is>
      </c>
      <c r="B13" s="2" t="inlineStr">
        <is>
          <t>Implied price differs significantly from market price (29.9% downside). Possible explanations: DCF assumptions may not reflect market expectations (revenue growth, margins, terminal growth); company may trade at a premium/discount that historical financials do not capture; or the simplified DCF may miss business-specific factors.</t>
        </is>
      </c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Valuation Tier Used</t>
        </is>
      </c>
      <c r="B16" s="2" t="n"/>
      <c r="C16" s="2" t="n"/>
      <c r="D16" s="2" t="n"/>
      <c r="E16" s="2" t="n"/>
      <c r="F16" s="2" t="n"/>
    </row>
    <row r="17">
      <c r="A17" s="3" t="inlineStr">
        <is>
          <t>Severity</t>
        </is>
      </c>
      <c r="B17" s="3" t="inlineStr">
        <is>
          <t>Message</t>
        </is>
      </c>
      <c r="C17" s="2" t="n"/>
      <c r="D17" s="2" t="n"/>
      <c r="E17" s="2" t="n"/>
      <c r="F17" s="2" t="n"/>
    </row>
    <row r="18">
      <c r="A18" s="2" t="inlineStr">
        <is>
          <t>warning</t>
        </is>
      </c>
      <c r="B18" s="2" t="inlineStr">
        <is>
          <t>Multiples valuation selected because Tier 1 rejected (negative or zero implied price); Tier 2 rejected (negative or zero implied price); Tier 3 rejected (negative or zero implied price).</t>
        </is>
      </c>
      <c r="C18" s="2" t="n"/>
      <c r="D18" s="2" t="n"/>
      <c r="E18" s="2" t="n"/>
      <c r="F18" s="2" t="n"/>
    </row>
  </sheetData>
  <mergeCells count="3">
    <mergeCell ref="A1:F1"/>
    <mergeCell ref="A9:F9"/>
    <mergeCell ref="A10:F10"/>
  </mergeCells>
  <conditionalFormatting sqref="E5:E8">
    <cfRule type="expression" priority="1" dxfId="0">
      <formula>ISNUMBER(SEARCH("OK",E5))</formula>
    </cfRule>
    <cfRule type="expression" priority="2" dxfId="1">
      <formula>ISNUMBER(SEARCH("Review",E5))</formula>
    </cfRule>
    <cfRule type="expression" priority="3" dxfId="2">
      <formula>OR(ISNUMBER(SEARCH("Check",E5)),ISNUMBER(SEARCH("Critical",E5)))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3" customWidth="1" min="4" max="4"/>
    <col width="21" customWidth="1" min="5" max="5"/>
    <col width="21" customWidth="1" min="6" max="6"/>
    <col width="16" customWidth="1" min="7" max="7"/>
    <col width="10" customWidth="1" min="8" max="8"/>
    <col width="12" customWidth="1" min="9" max="9"/>
    <col width="15" customWidth="1" min="10" max="10"/>
    <col width="20" customWidth="1" min="11" max="11"/>
    <col width="21" customWidth="1" min="12" max="12"/>
    <col width="20" customWidth="1" min="13" max="13"/>
    <col width="20" customWidth="1" min="14" max="14"/>
    <col width="21" customWidth="1" min="15" max="15"/>
    <col width="21" customWidth="1" min="16" max="16"/>
    <col width="10" customWidth="1" min="17" max="17"/>
  </cols>
  <sheetData>
    <row r="1">
      <c r="A1" s="1" t="inlineStr">
        <is>
          <t>Raw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Source</t>
        </is>
      </c>
      <c r="B3" s="2" t="inlineStr">
        <is>
          <t>Data sources: Yahoo Finance via yfinance. Market and analyst data availability varies by ticker.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Generated</t>
        </is>
      </c>
      <c r="B4" s="2" t="inlineStr">
        <is>
          <t>07.05.2026 23:38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Disclaimer</t>
        </is>
      </c>
      <c r="B5" s="2" t="inlineStr">
        <is>
          <t>Tämä on opiskelutarkoituksiin tehty työkalu, ei sijoitusneuvonta.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Ticker</t>
        </is>
      </c>
      <c r="B6" s="2" t="inlineStr">
        <is>
          <t>NESTE.HE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financialCurrency</t>
        </is>
      </c>
      <c r="B7" s="2" t="inlineStr">
        <is>
          <t>EUR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currentPrice</t>
        </is>
      </c>
      <c r="B8" s="2" t="n">
        <v>27.29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cash</t>
        </is>
      </c>
      <c r="B9" s="2" t="n">
        <v>1367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sharesOutstanding</t>
        </is>
      </c>
      <c r="B10" s="2" t="n">
        <v>768282661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Damodaran source</t>
        </is>
      </c>
      <c r="B11" s="2" t="inlineStr">
        <is>
          <t>https://pages.stern.nyu.edu/~adamodar/pc/datasets/betaEurope.xls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Damodaran industry</t>
        </is>
      </c>
      <c r="B12" s="2" t="inlineStr">
        <is>
          <t>Metals &amp; Mining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4" t="inlineStr">
        <is>
          <t>Income Statement Metrics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3" t="inlineStr">
        <is>
          <t>year</t>
        </is>
      </c>
      <c r="B16" s="3" t="inlineStr">
        <is>
          <t>period</t>
        </is>
      </c>
      <c r="C16" s="3" t="inlineStr">
        <is>
          <t>period_end</t>
        </is>
      </c>
      <c r="D16" s="3" t="inlineStr">
        <is>
          <t>period_type</t>
        </is>
      </c>
      <c r="E16" s="3" t="inlineStr">
        <is>
          <t>revenue</t>
        </is>
      </c>
      <c r="F16" s="3" t="inlineStr">
        <is>
          <t>gross_profit</t>
        </is>
      </c>
      <c r="G16" s="3" t="inlineStr">
        <is>
          <t>ebitda</t>
        </is>
      </c>
      <c r="H16" s="3" t="inlineStr">
        <is>
          <t>ebit</t>
        </is>
      </c>
      <c r="I16" s="3" t="inlineStr">
        <is>
          <t>net_income</t>
        </is>
      </c>
      <c r="J16" s="3" t="inlineStr">
        <is>
          <t>pretax_income</t>
        </is>
      </c>
      <c r="K16" s="3" t="inlineStr">
        <is>
          <t>income_tax_expense</t>
        </is>
      </c>
      <c r="L16" s="3" t="inlineStr">
        <is>
          <t>interest_expense</t>
        </is>
      </c>
      <c r="M16" s="3" t="inlineStr">
        <is>
          <t>gross_margin</t>
        </is>
      </c>
      <c r="N16" s="3" t="inlineStr">
        <is>
          <t>ebitda_margin</t>
        </is>
      </c>
      <c r="O16" s="3" t="inlineStr">
        <is>
          <t>ebit_margin</t>
        </is>
      </c>
      <c r="P16" s="3" t="inlineStr">
        <is>
          <t>net_margin</t>
        </is>
      </c>
      <c r="Q16" s="3" t="inlineStr">
        <is>
          <t>Note</t>
        </is>
      </c>
    </row>
    <row r="17">
      <c r="A17" s="2" t="n">
        <v>2022</v>
      </c>
      <c r="B17" s="2" t="inlineStr">
        <is>
          <t>FY2022 (ended Dec 2022)</t>
        </is>
      </c>
      <c r="C17" s="2" t="inlineStr">
        <is>
          <t>2022-12-31</t>
        </is>
      </c>
      <c r="D17" s="2" t="inlineStr">
        <is>
          <t>FY</t>
        </is>
      </c>
      <c r="E17" s="2" t="n">
        <v>25707</v>
      </c>
      <c r="F17" s="2" t="n">
        <v>3421</v>
      </c>
      <c r="G17" s="2" t="n">
        <v>2970</v>
      </c>
      <c r="H17" s="2" t="n">
        <v>2332</v>
      </c>
      <c r="I17" s="2" t="n">
        <v>1888</v>
      </c>
      <c r="J17" s="2" t="n">
        <v>2279</v>
      </c>
      <c r="K17" s="2" t="n">
        <v>388</v>
      </c>
      <c r="L17" s="2" t="n">
        <v>53</v>
      </c>
      <c r="M17" s="2" t="n">
        <v>13.3076593923834</v>
      </c>
      <c r="N17" s="2" t="n">
        <v>11.55327342747112</v>
      </c>
      <c r="O17" s="2" t="n">
        <v>9.071459135643988</v>
      </c>
      <c r="P17" s="2" t="n">
        <v>7.344303108102851</v>
      </c>
      <c r="Q17" s="2" t="inlineStr"/>
    </row>
    <row r="18">
      <c r="A18" s="2" t="n">
        <v>2023</v>
      </c>
      <c r="B18" s="2" t="inlineStr">
        <is>
          <t>FY2023 (ended Dec 2023)</t>
        </is>
      </c>
      <c r="C18" s="2" t="inlineStr">
        <is>
          <t>2023-12-31</t>
        </is>
      </c>
      <c r="D18" s="2" t="inlineStr">
        <is>
          <t>FY</t>
        </is>
      </c>
      <c r="E18" s="2" t="n">
        <v>22927</v>
      </c>
      <c r="F18" s="2" t="n">
        <v>2964</v>
      </c>
      <c r="G18" s="2" t="n">
        <v>2580</v>
      </c>
      <c r="H18" s="2" t="n">
        <v>1714</v>
      </c>
      <c r="I18" s="2" t="n">
        <v>1433</v>
      </c>
      <c r="J18" s="2" t="n">
        <v>1596</v>
      </c>
      <c r="K18" s="2" t="n">
        <v>160</v>
      </c>
      <c r="L18" s="2" t="n">
        <v>118</v>
      </c>
      <c r="M18" s="2" t="n">
        <v>12.9279888341257</v>
      </c>
      <c r="N18" s="2" t="n">
        <v>11.25310768962359</v>
      </c>
      <c r="O18" s="2" t="n">
        <v>7.475901775199547</v>
      </c>
      <c r="P18" s="2" t="n">
        <v>6.250272604352947</v>
      </c>
      <c r="Q18" s="2" t="inlineStr"/>
    </row>
    <row r="19">
      <c r="A19" s="2" t="n">
        <v>2024</v>
      </c>
      <c r="B19" s="2" t="inlineStr">
        <is>
          <t>FY2024 (ended Dec 2024)</t>
        </is>
      </c>
      <c r="C19" s="2" t="inlineStr">
        <is>
          <t>2024-12-31</t>
        </is>
      </c>
      <c r="D19" s="2" t="inlineStr">
        <is>
          <t>FY</t>
        </is>
      </c>
      <c r="E19" s="2" t="n">
        <v>20635</v>
      </c>
      <c r="F19" s="2" t="n">
        <v>1267</v>
      </c>
      <c r="G19" s="2" t="n">
        <v>1014</v>
      </c>
      <c r="H19" s="2" t="n">
        <v>34</v>
      </c>
      <c r="I19" s="2" t="n">
        <v>-95</v>
      </c>
      <c r="J19" s="2" t="n">
        <v>-113</v>
      </c>
      <c r="K19" s="2" t="n">
        <v>-19</v>
      </c>
      <c r="L19" s="2" t="n">
        <v>147</v>
      </c>
      <c r="M19" s="2" t="n">
        <v>6.140053307487279</v>
      </c>
      <c r="N19" s="2" t="n">
        <v>4.913981100072692</v>
      </c>
      <c r="O19" s="2" t="n">
        <v>0.1647685970438575</v>
      </c>
      <c r="P19" s="2" t="n">
        <v>-0.4603828446813666</v>
      </c>
      <c r="Q19" s="2" t="inlineStr"/>
    </row>
    <row r="20">
      <c r="A20" s="2" t="n">
        <v>2025</v>
      </c>
      <c r="B20" s="2" t="inlineStr">
        <is>
          <t>FY2025 (ended Dec 2025)</t>
        </is>
      </c>
      <c r="C20" s="2" t="inlineStr">
        <is>
          <t>2025-12-31</t>
        </is>
      </c>
      <c r="D20" s="2" t="inlineStr">
        <is>
          <t>FY</t>
        </is>
      </c>
      <c r="E20" s="2" t="n">
        <v>19016</v>
      </c>
      <c r="F20" s="2" t="n">
        <v>1710</v>
      </c>
      <c r="G20" s="2" t="n">
        <v>1284</v>
      </c>
      <c r="H20" s="2" t="n">
        <v>350</v>
      </c>
      <c r="I20" s="2" t="n">
        <v>144</v>
      </c>
      <c r="J20" s="2" t="n">
        <v>199</v>
      </c>
      <c r="K20" s="2" t="n">
        <v>55</v>
      </c>
      <c r="L20" s="2" t="n">
        <v>151</v>
      </c>
      <c r="M20" s="2" t="n">
        <v>8.992427429533025</v>
      </c>
      <c r="N20" s="2" t="n">
        <v>6.752208666386202</v>
      </c>
      <c r="O20" s="2" t="n">
        <v>1.840555321834245</v>
      </c>
      <c r="P20" s="2" t="n">
        <v>0.7572570466975179</v>
      </c>
      <c r="Q20" s="2" t="inlineStr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4" t="inlineStr">
        <is>
          <t>Balance Sheet Metrics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3" t="inlineStr">
        <is>
          <t>year</t>
        </is>
      </c>
      <c r="B24" s="3" t="inlineStr">
        <is>
          <t>period</t>
        </is>
      </c>
      <c r="C24" s="3" t="inlineStr">
        <is>
          <t>period_end</t>
        </is>
      </c>
      <c r="D24" s="3" t="inlineStr">
        <is>
          <t>period_type</t>
        </is>
      </c>
      <c r="E24" s="3" t="inlineStr">
        <is>
          <t>total_assets</t>
        </is>
      </c>
      <c r="F24" s="3" t="inlineStr">
        <is>
          <t>total_liabilities</t>
        </is>
      </c>
      <c r="G24" s="3" t="inlineStr">
        <is>
          <t>total_equity</t>
        </is>
      </c>
      <c r="H24" s="3" t="inlineStr">
        <is>
          <t>cash</t>
        </is>
      </c>
      <c r="I24" s="3" t="inlineStr">
        <is>
          <t>debt</t>
        </is>
      </c>
      <c r="J24" s="3" t="inlineStr">
        <is>
          <t>net_debt</t>
        </is>
      </c>
      <c r="K24" s="3" t="inlineStr">
        <is>
          <t>current_assets</t>
        </is>
      </c>
      <c r="L24" s="3" t="inlineStr">
        <is>
          <t>current_liabilities</t>
        </is>
      </c>
      <c r="M24" s="3" t="inlineStr">
        <is>
          <t>equity_ratio</t>
        </is>
      </c>
      <c r="N24" s="3" t="inlineStr">
        <is>
          <t>Note</t>
        </is>
      </c>
      <c r="O24" s="2" t="n"/>
      <c r="P24" s="2" t="n"/>
      <c r="Q24" s="2" t="n"/>
    </row>
    <row r="25">
      <c r="A25" s="2" t="n">
        <v>2021</v>
      </c>
      <c r="B25" s="2" t="inlineStr">
        <is>
          <t>FY2021 (ended Dec 2021)</t>
        </is>
      </c>
      <c r="C25" s="2" t="inlineStr">
        <is>
          <t>2021-12-31</t>
        </is>
      </c>
      <c r="D25" s="2" t="inlineStr">
        <is>
          <t>FY</t>
        </is>
      </c>
      <c r="E25" s="2" t="n"/>
      <c r="F25" s="2" t="n"/>
      <c r="G25" s="2" t="n"/>
      <c r="H25" s="2" t="n">
        <v>0</v>
      </c>
      <c r="I25" s="2" t="n">
        <v>0</v>
      </c>
      <c r="J25" s="2" t="n">
        <v>0</v>
      </c>
      <c r="K25" s="2" t="n"/>
      <c r="L25" s="2" t="n"/>
      <c r="M25" s="2" t="n"/>
      <c r="N25" s="2" t="inlineStr"/>
      <c r="O25" s="2" t="n"/>
      <c r="P25" s="2" t="n"/>
      <c r="Q25" s="2" t="n"/>
    </row>
    <row r="26">
      <c r="A26" s="2" t="n">
        <v>2022</v>
      </c>
      <c r="B26" s="2" t="inlineStr">
        <is>
          <t>FY2022 (ended Dec 2022)</t>
        </is>
      </c>
      <c r="C26" s="2" t="inlineStr">
        <is>
          <t>2022-12-31</t>
        </is>
      </c>
      <c r="D26" s="2" t="inlineStr">
        <is>
          <t>FY</t>
        </is>
      </c>
      <c r="E26" s="2" t="n">
        <v>14917</v>
      </c>
      <c r="F26" s="2" t="n">
        <v>6590</v>
      </c>
      <c r="G26" s="2" t="n">
        <v>8322</v>
      </c>
      <c r="H26" s="2" t="n">
        <v>1271</v>
      </c>
      <c r="I26" s="2" t="n">
        <v>2616</v>
      </c>
      <c r="J26" s="2" t="n">
        <v>1345</v>
      </c>
      <c r="K26" s="2" t="n">
        <v>7502</v>
      </c>
      <c r="L26" s="2" t="n">
        <v>3916</v>
      </c>
      <c r="M26" s="2" t="n">
        <v>55.78869745927465</v>
      </c>
      <c r="N26" s="2" t="inlineStr"/>
      <c r="O26" s="2" t="n"/>
      <c r="P26" s="2" t="n"/>
      <c r="Q26" s="2" t="n"/>
    </row>
    <row r="27">
      <c r="A27" s="2" t="n">
        <v>2023</v>
      </c>
      <c r="B27" s="2" t="inlineStr">
        <is>
          <t>FY2023 (ended Dec 2023)</t>
        </is>
      </c>
      <c r="C27" s="2" t="inlineStr">
        <is>
          <t>2023-12-31</t>
        </is>
      </c>
      <c r="D27" s="2" t="inlineStr">
        <is>
          <t>FY</t>
        </is>
      </c>
      <c r="E27" s="2" t="n">
        <v>15983</v>
      </c>
      <c r="F27" s="2" t="n">
        <v>7520</v>
      </c>
      <c r="G27" s="2" t="n">
        <v>8463</v>
      </c>
      <c r="H27" s="2" t="n">
        <v>1575</v>
      </c>
      <c r="I27" s="2" t="n">
        <v>4068</v>
      </c>
      <c r="J27" s="2" t="n">
        <v>2493</v>
      </c>
      <c r="K27" s="2" t="n">
        <v>7126</v>
      </c>
      <c r="L27" s="2" t="n">
        <v>3389</v>
      </c>
      <c r="M27" s="2" t="n">
        <v>52.95000938497153</v>
      </c>
      <c r="N27" s="2" t="inlineStr"/>
      <c r="O27" s="2" t="n"/>
      <c r="P27" s="2" t="n"/>
      <c r="Q27" s="2" t="n"/>
    </row>
    <row r="28">
      <c r="A28" s="2" t="n">
        <v>2024</v>
      </c>
      <c r="B28" s="2" t="inlineStr">
        <is>
          <t>FY2024 (ended Dec 2024)</t>
        </is>
      </c>
      <c r="C28" s="2" t="inlineStr">
        <is>
          <t>2024-12-31</t>
        </is>
      </c>
      <c r="D28" s="2" t="inlineStr">
        <is>
          <t>FY</t>
        </is>
      </c>
      <c r="E28" s="2" t="n">
        <v>15581</v>
      </c>
      <c r="F28" s="2" t="n">
        <v>8164</v>
      </c>
      <c r="G28" s="2" t="n">
        <v>7417</v>
      </c>
      <c r="H28" s="2" t="n">
        <v>955</v>
      </c>
      <c r="I28" s="2" t="n">
        <v>5147</v>
      </c>
      <c r="J28" s="2" t="n">
        <v>4192</v>
      </c>
      <c r="K28" s="2" t="n">
        <v>5554</v>
      </c>
      <c r="L28" s="2" t="n">
        <v>3210</v>
      </c>
      <c r="M28" s="2" t="n">
        <v>47.60284962454271</v>
      </c>
      <c r="N28" s="2" t="inlineStr"/>
      <c r="O28" s="2" t="n"/>
      <c r="P28" s="2" t="n"/>
      <c r="Q28" s="2" t="n"/>
    </row>
    <row r="29">
      <c r="A29" s="2" t="n">
        <v>2025</v>
      </c>
      <c r="B29" s="2" t="inlineStr">
        <is>
          <t>FY2025 (ended Dec 2025)</t>
        </is>
      </c>
      <c r="C29" s="2" t="inlineStr">
        <is>
          <t>2025-12-31</t>
        </is>
      </c>
      <c r="D29" s="2" t="inlineStr">
        <is>
          <t>FY</t>
        </is>
      </c>
      <c r="E29" s="2" t="n">
        <v>15749</v>
      </c>
      <c r="F29" s="2" t="n">
        <v>8435</v>
      </c>
      <c r="G29" s="2" t="n">
        <v>7314</v>
      </c>
      <c r="H29" s="2" t="n">
        <v>1367</v>
      </c>
      <c r="I29" s="2" t="n">
        <v>5184</v>
      </c>
      <c r="J29" s="2" t="n">
        <v>3817</v>
      </c>
      <c r="K29" s="2" t="n">
        <v>5818</v>
      </c>
      <c r="L29" s="2" t="n">
        <v>3085</v>
      </c>
      <c r="M29" s="2" t="n">
        <v>46.44104387580164</v>
      </c>
      <c r="N29" s="2" t="inlineStr"/>
      <c r="O29" s="2" t="n"/>
      <c r="P29" s="2" t="n"/>
      <c r="Q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4" t="inlineStr">
        <is>
          <t>Cash Flow Metrics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3" t="inlineStr">
        <is>
          <t>year</t>
        </is>
      </c>
      <c r="B33" s="3" t="inlineStr">
        <is>
          <t>period</t>
        </is>
      </c>
      <c r="C33" s="3" t="inlineStr">
        <is>
          <t>period_end</t>
        </is>
      </c>
      <c r="D33" s="3" t="inlineStr">
        <is>
          <t>period_type</t>
        </is>
      </c>
      <c r="E33" s="3" t="inlineStr">
        <is>
          <t>operating_cash_flow</t>
        </is>
      </c>
      <c r="F33" s="3" t="inlineStr">
        <is>
          <t>capital_expenditure</t>
        </is>
      </c>
      <c r="G33" s="3" t="inlineStr">
        <is>
          <t>free_cash_flow</t>
        </is>
      </c>
      <c r="H33" s="3" t="inlineStr">
        <is>
          <t>Note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n">
        <v>2021</v>
      </c>
      <c r="B34" s="2" t="inlineStr">
        <is>
          <t>FY2021 (ended Dec 2021)</t>
        </is>
      </c>
      <c r="C34" s="2" t="inlineStr">
        <is>
          <t>2021-12-31</t>
        </is>
      </c>
      <c r="D34" s="2" t="inlineStr">
        <is>
          <t>FY</t>
        </is>
      </c>
      <c r="E34" s="2" t="n"/>
      <c r="F34" s="2" t="n"/>
      <c r="G34" s="2" t="n"/>
      <c r="H34" s="2" t="inlineStr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>
        <v>2022</v>
      </c>
      <c r="B35" s="2" t="inlineStr">
        <is>
          <t>FY2022 (ended Dec 2022)</t>
        </is>
      </c>
      <c r="C35" s="2" t="inlineStr">
        <is>
          <t>2022-12-31</t>
        </is>
      </c>
      <c r="D35" s="2" t="inlineStr">
        <is>
          <t>FY</t>
        </is>
      </c>
      <c r="E35" s="2" t="n">
        <v>1197</v>
      </c>
      <c r="F35" s="2" t="n">
        <v>-1743</v>
      </c>
      <c r="G35" s="2" t="n">
        <v>-546</v>
      </c>
      <c r="H35" s="2" t="inlineStr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>
        <v>2023</v>
      </c>
      <c r="B36" s="2" t="inlineStr">
        <is>
          <t>FY2023 (ended Dec 2023)</t>
        </is>
      </c>
      <c r="C36" s="2" t="inlineStr">
        <is>
          <t>2023-12-31</t>
        </is>
      </c>
      <c r="D36" s="2" t="inlineStr">
        <is>
          <t>FY</t>
        </is>
      </c>
      <c r="E36" s="2" t="n">
        <v>2279</v>
      </c>
      <c r="F36" s="2" t="n">
        <v>-1430</v>
      </c>
      <c r="G36" s="2" t="n">
        <v>849</v>
      </c>
      <c r="H36" s="2" t="inlineStr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>
        <v>2024</v>
      </c>
      <c r="B37" s="2" t="inlineStr">
        <is>
          <t>FY2024 (ended Dec 2024)</t>
        </is>
      </c>
      <c r="C37" s="2" t="inlineStr">
        <is>
          <t>2024-12-31</t>
        </is>
      </c>
      <c r="D37" s="2" t="inlineStr">
        <is>
          <t>FY</t>
        </is>
      </c>
      <c r="E37" s="2" t="n">
        <v>1154</v>
      </c>
      <c r="F37" s="2" t="n">
        <v>-1552</v>
      </c>
      <c r="G37" s="2" t="n">
        <v>-398</v>
      </c>
      <c r="H37" s="2" t="inlineStr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>
        <v>2025</v>
      </c>
      <c r="B38" s="2" t="inlineStr">
        <is>
          <t>FY2025 (ended Dec 2025)</t>
        </is>
      </c>
      <c r="C38" s="2" t="inlineStr">
        <is>
          <t>2025-12-31</t>
        </is>
      </c>
      <c r="D38" s="2" t="inlineStr">
        <is>
          <t>FY</t>
        </is>
      </c>
      <c r="E38" s="2" t="n">
        <v>1747</v>
      </c>
      <c r="F38" s="2" t="n">
        <v>-922</v>
      </c>
      <c r="G38" s="2" t="n">
        <v>825</v>
      </c>
      <c r="H38" s="2" t="inlineStr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2026-05-07T20:38:10Z</dcterms:created>
  <dcterms:modified xsi:type="dcterms:W3CDTF">2026-05-07T20:38:11Z</dcterms:modified>
</cp:coreProperties>
</file>